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L:\runtime\ol-connectome-analysis\params\"/>
    </mc:Choice>
  </mc:AlternateContent>
  <xr:revisionPtr revIDLastSave="0" documentId="13_ncr:1_{E47A7D5C-5B72-4331-8E96-83B8461927C3}" xr6:coauthVersionLast="47" xr6:coauthVersionMax="47" xr10:uidLastSave="{00000000-0000-0000-0000-000000000000}"/>
  <bookViews>
    <workbookView xWindow="20544" yWindow="0" windowWidth="20832" windowHeight="17376" activeTab="2" xr2:uid="{00000000-000D-0000-FFFF-FFFF00000000}"/>
  </bookViews>
  <sheets>
    <sheet name="legend" sheetId="1" r:id="rId1"/>
    <sheet name="summary" sheetId="2" r:id="rId2"/>
    <sheet name="CBN visual sensitivity" sheetId="3" r:id="rId3"/>
    <sheet name="contrast selectivity" sheetId="4" r:id="rId4"/>
    <sheet name="RF size" sheetId="5" r:id="rId5"/>
    <sheet name="RF size CC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5" i="5" l="1"/>
  <c r="D35" i="5"/>
  <c r="F35" i="5" s="1"/>
  <c r="E34" i="5"/>
  <c r="D34" i="5"/>
  <c r="F34" i="5" s="1"/>
  <c r="E33" i="5"/>
  <c r="D33" i="5"/>
  <c r="F33" i="5" s="1"/>
  <c r="E32" i="5"/>
  <c r="D32" i="5"/>
  <c r="F32" i="5" s="1"/>
  <c r="E31" i="5"/>
  <c r="D31" i="5"/>
  <c r="F31" i="5" s="1"/>
  <c r="C30" i="5"/>
  <c r="E30" i="5" s="1"/>
  <c r="B30" i="5"/>
  <c r="D30" i="5" s="1"/>
  <c r="F30" i="5" s="1"/>
  <c r="E29" i="5"/>
  <c r="C29" i="5"/>
  <c r="B29" i="5"/>
  <c r="D29" i="5" s="1"/>
  <c r="F29" i="5" s="1"/>
  <c r="E28" i="5"/>
  <c r="C28" i="5"/>
  <c r="B28" i="5"/>
  <c r="D28" i="5" s="1"/>
  <c r="F28" i="5" s="1"/>
  <c r="E27" i="5"/>
  <c r="D27" i="5"/>
  <c r="F27" i="5" s="1"/>
  <c r="E26" i="5"/>
  <c r="D26" i="5"/>
  <c r="F26" i="5" s="1"/>
  <c r="E25" i="5"/>
  <c r="D25" i="5"/>
  <c r="F25" i="5" s="1"/>
  <c r="E24" i="5"/>
  <c r="D24" i="5"/>
  <c r="F24" i="5" s="1"/>
  <c r="E23" i="5"/>
  <c r="D23" i="5"/>
  <c r="F23" i="5" s="1"/>
  <c r="E22" i="5"/>
  <c r="F22" i="5" s="1"/>
  <c r="D22" i="5"/>
  <c r="E21" i="5"/>
  <c r="D21" i="5"/>
  <c r="F21" i="5" s="1"/>
  <c r="E20" i="5"/>
  <c r="D20" i="5"/>
  <c r="F20" i="5" s="1"/>
  <c r="F19" i="5"/>
  <c r="E19" i="5"/>
  <c r="D19" i="5"/>
  <c r="E18" i="5"/>
  <c r="D18" i="5"/>
  <c r="F18" i="5" s="1"/>
  <c r="E17" i="5"/>
  <c r="D17" i="5"/>
  <c r="F17" i="5" s="1"/>
  <c r="E16" i="5"/>
  <c r="D16" i="5"/>
  <c r="F16" i="5" s="1"/>
  <c r="E15" i="5"/>
  <c r="D15" i="5"/>
  <c r="F15" i="5" s="1"/>
  <c r="E14" i="5"/>
  <c r="F14" i="5" s="1"/>
  <c r="D14" i="5"/>
  <c r="E13" i="5"/>
  <c r="D13" i="5"/>
  <c r="F13" i="5" s="1"/>
  <c r="E12" i="5"/>
  <c r="D12" i="5"/>
  <c r="F12" i="5" s="1"/>
  <c r="F11" i="5"/>
  <c r="E11" i="5"/>
  <c r="D11" i="5"/>
  <c r="E10" i="5"/>
  <c r="D10" i="5"/>
  <c r="F10" i="5" s="1"/>
  <c r="E9" i="5"/>
  <c r="D9" i="5"/>
  <c r="F9" i="5" s="1"/>
  <c r="E8" i="5"/>
  <c r="D8" i="5"/>
  <c r="F8" i="5" s="1"/>
  <c r="E7" i="5"/>
  <c r="D7" i="5"/>
  <c r="F7" i="5" s="1"/>
  <c r="E6" i="5"/>
  <c r="F6" i="5" s="1"/>
  <c r="D6" i="5"/>
  <c r="E5" i="5"/>
  <c r="D5" i="5"/>
  <c r="F5" i="5" s="1"/>
  <c r="E4" i="5"/>
  <c r="D4" i="5"/>
  <c r="F4" i="5" s="1"/>
  <c r="F3" i="5"/>
  <c r="E3" i="5"/>
  <c r="D3" i="5"/>
  <c r="E2" i="5"/>
  <c r="D2" i="5"/>
  <c r="F2" i="5" s="1"/>
</calcChain>
</file>

<file path=xl/sharedStrings.xml><?xml version="1.0" encoding="utf-8"?>
<sst xmlns="http://schemas.openxmlformats.org/spreadsheetml/2006/main" count="794" uniqueCount="303">
  <si>
    <t>Neuron type</t>
  </si>
  <si>
    <t>mean_short_axis</t>
  </si>
  <si>
    <t>sem_short_axis</t>
  </si>
  <si>
    <t>mean_long_axis</t>
  </si>
  <si>
    <t>sem_long_axis</t>
  </si>
  <si>
    <t>size_ellipse</t>
  </si>
  <si>
    <t>Reference</t>
  </si>
  <si>
    <t>C2</t>
  </si>
  <si>
    <t>Currier, Clandinin, 2025</t>
  </si>
  <si>
    <t>C3</t>
  </si>
  <si>
    <t>Dm13</t>
  </si>
  <si>
    <t>Dm15</t>
  </si>
  <si>
    <t>Dm16</t>
  </si>
  <si>
    <t>Dm2</t>
  </si>
  <si>
    <t>Dm3a</t>
  </si>
  <si>
    <t>Dm3b</t>
  </si>
  <si>
    <t>Dm3c</t>
  </si>
  <si>
    <t>L1</t>
  </si>
  <si>
    <t>L2</t>
  </si>
  <si>
    <t>L4</t>
  </si>
  <si>
    <t>L5</t>
  </si>
  <si>
    <t>Mi1</t>
  </si>
  <si>
    <t>Mi14</t>
  </si>
  <si>
    <t>Mi15</t>
  </si>
  <si>
    <t>Mi2</t>
  </si>
  <si>
    <t>Mi4</t>
  </si>
  <si>
    <t>Mi9</t>
  </si>
  <si>
    <t>Pm1</t>
  </si>
  <si>
    <t>Pm3</t>
  </si>
  <si>
    <t>Pm5</t>
  </si>
  <si>
    <t>T2</t>
  </si>
  <si>
    <t>T2a</t>
  </si>
  <si>
    <t>T3</t>
  </si>
  <si>
    <t>T4*</t>
  </si>
  <si>
    <t>Tm1</t>
  </si>
  <si>
    <t>Tm12</t>
  </si>
  <si>
    <t>Tm2</t>
  </si>
  <si>
    <t>Tm20</t>
  </si>
  <si>
    <t>Tm29</t>
  </si>
  <si>
    <t>Tm3</t>
  </si>
  <si>
    <t>Tm4</t>
  </si>
  <si>
    <t>Tm5b</t>
  </si>
  <si>
    <t>Tm9</t>
  </si>
  <si>
    <t>TmY10</t>
  </si>
  <si>
    <t>TmY14</t>
  </si>
  <si>
    <t>TmY16</t>
  </si>
  <si>
    <t>TmY18</t>
  </si>
  <si>
    <t>TmY3</t>
  </si>
  <si>
    <t>TmY5a</t>
  </si>
  <si>
    <t>TmY9a</t>
  </si>
  <si>
    <t>Y13</t>
  </si>
  <si>
    <t>Supplementary spreadsheet: literature survey of visual responses in Drosophila melanogaster.</t>
  </si>
  <si>
    <t>Sheets</t>
  </si>
  <si>
    <t>summary</t>
  </si>
  <si>
    <t>One row per published study reporting light/visual physiology of cell types.</t>
  </si>
  <si>
    <t>CBN visual sensitivity</t>
  </si>
  <si>
    <t>contrast selectivity</t>
  </si>
  <si>
    <t>RF size</t>
  </si>
  <si>
    <t>RF size CC</t>
  </si>
  <si>
    <t>Columns in "summary"</t>
  </si>
  <si>
    <t>URL</t>
  </si>
  <si>
    <t>Link to the publisher/PubMed page for the study.</t>
  </si>
  <si>
    <t>Abbreviation of citation.</t>
  </si>
  <si>
    <t>Cell type(s) characterized in the study that are used in our paper, separated by comma. * is a wildcard character</t>
  </si>
  <si>
    <t>Visual sensitivity?</t>
  </si>
  <si>
    <t>Light-responsive? Y = yes / N = no.</t>
  </si>
  <si>
    <t>Contrast selectivity?</t>
  </si>
  <si>
    <t>ON/OFF contrast selectivity reported? Y / N.</t>
  </si>
  <si>
    <t>RF size measured?</t>
  </si>
  <si>
    <t>Receptive-field size measured? Y / N.</t>
  </si>
  <si>
    <t>Relevant figures</t>
  </si>
  <si>
    <t>Figure/table numbers in the study supporting the entries.</t>
  </si>
  <si>
    <t>Figures in our paper</t>
  </si>
  <si>
    <t>Figure in our study where this data was used.</t>
  </si>
  <si>
    <t>Recording method</t>
  </si>
  <si>
    <t>Visual stimuli</t>
  </si>
  <si>
    <t>The visual stimuli relevant to our paper.</t>
  </si>
  <si>
    <t>Comments</t>
  </si>
  <si>
    <t>Legend</t>
  </si>
  <si>
    <t>Y / N</t>
  </si>
  <si>
    <t>Yes / No for the property in that column.</t>
  </si>
  <si>
    <t>blank cell</t>
  </si>
  <si>
    <t>Not reported / not applicable in the cited study.</t>
  </si>
  <si>
    <t>Receptive-field area in square degrees (deg^2).</t>
  </si>
  <si>
    <t>mean/sem short/long axis</t>
  </si>
  <si>
    <t>Ellipse axis lengths in degrees (deg).</t>
  </si>
  <si>
    <t>Relevant ref figures</t>
  </si>
  <si>
    <t>https://pubmed.ncbi.nlm.nih.gov/31928873/</t>
  </si>
  <si>
    <t>Drews et al., 2020</t>
  </si>
  <si>
    <t>L1, L2, L3, L4, L5</t>
  </si>
  <si>
    <t>Y</t>
  </si>
  <si>
    <t>S3</t>
  </si>
  <si>
    <t>two-photon calcium imaging (GCaMP6f)</t>
  </si>
  <si>
    <t>white-noise stimuli with 2.8 deg resolution</t>
  </si>
  <si>
    <t xml:space="preserve">https://pubmed.ncbi.nlm.nih.gov/28343964/ </t>
  </si>
  <si>
    <t>Arenz et al., 2017</t>
  </si>
  <si>
    <t>Tm1, Tm2, Tm3, Tm4, Tm9, Mi1, Mi4, Mi9</t>
  </si>
  <si>
    <t>2</t>
  </si>
  <si>
    <t>1D white-noise stimuli with 2.8 deg resolution</t>
  </si>
  <si>
    <t>https://www.nature.com/articles/s41593-017-0046-4#Abs1</t>
  </si>
  <si>
    <t>Gruntman et al., 2018</t>
  </si>
  <si>
    <t>2, S1</t>
  </si>
  <si>
    <t>whole-cell patch-clamp</t>
  </si>
  <si>
    <t>multi-resolution grids of bright and dark squares</t>
  </si>
  <si>
    <t>https://elifesciences.org/articles/50706#content</t>
  </si>
  <si>
    <t>Gruntman et al., 2019</t>
  </si>
  <si>
    <t>T5*, T4*</t>
  </si>
  <si>
    <t>https://www.cell.com/cell/abstract/S0092-8674(25)00518-5</t>
  </si>
  <si>
    <t>C2, C3, Dm13, Dm15, Dm16, Dm2, Dm3a, Dm3b, Dm3c, L1, L2, L4, L5, Mi1, Mi14, Mi15, Mi2, Mi4, Mi9, Pm1, Pm3, Pm5, T2, T2a, T3, T4*, Tm1, Tm12, Tm2, Tm20, Tm29, Tm3, Tm4, Tm5b, Tm9, TmY10, TmY14, TmY16, TmY18, TmY3, TmY5a, TmY9a, Y13</t>
  </si>
  <si>
    <t>4, 5</t>
  </si>
  <si>
    <t>two-photon calcium imaging (GCaMP8m)</t>
  </si>
  <si>
    <t>ternary noise stimuli with 5 deg resolution</t>
  </si>
  <si>
    <t>https://www.sciencedirect.com/science/article/pii/S0896627322001787</t>
  </si>
  <si>
    <t>Klapoetke et al., 2022</t>
  </si>
  <si>
    <t>LPLC2, LC4, LPLC1, LC17, LC11, LC12, LC21, LC25</t>
  </si>
  <si>
    <t>2, Table S4</t>
  </si>
  <si>
    <t>black and white looming disc, adjusted stimuli for RF mapping</t>
  </si>
  <si>
    <t>LC15, LC18 had similar ON/OFF responses, therefore excluded from contrast selectivity</t>
  </si>
  <si>
    <t>https://elifesciences.org/articles/82587</t>
  </si>
  <si>
    <t>Turner et al., 2022</t>
  </si>
  <si>
    <t>LC9</t>
  </si>
  <si>
    <t>3</t>
  </si>
  <si>
    <t>black and white moving spots</t>
  </si>
  <si>
    <t>https://www.cell.com/cell/fulltext/S0092-8674(18)30788-8</t>
  </si>
  <si>
    <t>Ribeiro et al., 2018</t>
  </si>
  <si>
    <t>LC10a</t>
  </si>
  <si>
    <t>S6</t>
  </si>
  <si>
    <t>two-photon calcium imaging (GCaMP6m)</t>
  </si>
  <si>
    <t>black and white moving square and bar</t>
  </si>
  <si>
    <t>https://elifesciences.org/articles/57685#content</t>
  </si>
  <si>
    <t>Morimoto et al., 2020</t>
  </si>
  <si>
    <t>3 supp3, 4</t>
  </si>
  <si>
    <t>black and white looming disc</t>
  </si>
  <si>
    <t>N</t>
  </si>
  <si>
    <t>1</t>
  </si>
  <si>
    <t>5a</t>
  </si>
  <si>
    <t>two-photon calcium imaging (GCaMP6s)</t>
  </si>
  <si>
    <t>https://elifesciences.org/articles/63225</t>
  </si>
  <si>
    <t>Hardcastle et al., 2021</t>
  </si>
  <si>
    <t>TuBu01, TuTuB*, ER4m, EPG</t>
  </si>
  <si>
    <t>appendix 1</t>
  </si>
  <si>
    <t>polarized light</t>
  </si>
  <si>
    <t>mainly tested polarization; TuBu01 aka. TuBu_a; TuTuB aka. TuTu; EPG aka. E-PG</t>
  </si>
  <si>
    <t>https://www.cell.com/current-biology/fulltext/S0960-9822(17)30265-8</t>
  </si>
  <si>
    <t>Omoto et al., 2017</t>
  </si>
  <si>
    <t>5, 6</t>
  </si>
  <si>
    <t>black and white moving bar</t>
  </si>
  <si>
    <t>separated into anterior (TuBu01), inferior (TuBu02-05), superior (TuBu06-10)</t>
  </si>
  <si>
    <t>https://www.nature.com/articles/nature12601</t>
  </si>
  <si>
    <t>Seelig, Jayaraman, 2013</t>
  </si>
  <si>
    <t>ER2*, ER3*, ER4d</t>
  </si>
  <si>
    <t>ED5</t>
  </si>
  <si>
    <t>two-photon calcium imaging (GCaMP3)</t>
  </si>
  <si>
    <t>black and white oriented bars</t>
  </si>
  <si>
    <t>https://www.nature.com/articles/nn.4628#Abs2</t>
  </si>
  <si>
    <t>Shiozaki, Kazama, 2017</t>
  </si>
  <si>
    <t>ER3*</t>
  </si>
  <si>
    <t>dark bar</t>
  </si>
  <si>
    <t>Garner et al., 2024</t>
  </si>
  <si>
    <t>ER2_c, ER4d</t>
  </si>
  <si>
    <t>5</t>
  </si>
  <si>
    <t>two-photon calcium imaging (GCaMP8f)</t>
  </si>
  <si>
    <t>grid of bright squares with 18 deg resolution</t>
  </si>
  <si>
    <t>https://elifesciences.org/articles/14009#content</t>
  </si>
  <si>
    <t>Vogt et al., 2016</t>
  </si>
  <si>
    <t>KCg-d, Kcab*</t>
  </si>
  <si>
    <t>flash of light</t>
  </si>
  <si>
    <t>https://www.cell.com/current-biology/fulltext/S0960-9822(22)00592-9</t>
  </si>
  <si>
    <t>Tanaka, Clark, 2022</t>
  </si>
  <si>
    <t>PLP219, PVLP112, PVLP113</t>
  </si>
  <si>
    <t>5, S5</t>
  </si>
  <si>
    <t>two-photon calcium imaging (GCaMP6f, jGCaMP7b)</t>
  </si>
  <si>
    <t>PVLP112, PVLP113 in the same driver line</t>
  </si>
  <si>
    <t>https://www.nature.com/articles/s41593-025-01948-9#Abs1</t>
  </si>
  <si>
    <t>Erginkaya et al., 2025</t>
  </si>
  <si>
    <t>PS321, PS072</t>
  </si>
  <si>
    <t>1, 4</t>
  </si>
  <si>
    <t>two-photon calcium imaging (jGCaMP7f)</t>
  </si>
  <si>
    <t>bright moving dots</t>
  </si>
  <si>
    <t>PS321 aka. bIPS; PS072 aka. uLPTCm</t>
  </si>
  <si>
    <t>https://www.sciencedirect.com/science/article/pii/S0960982222000197</t>
  </si>
  <si>
    <t>Namiki et al., 2022</t>
  </si>
  <si>
    <t>DNg02*</t>
  </si>
  <si>
    <t>4</t>
  </si>
  <si>
    <t>https://www.sciencedirect.com/science/article/pii/S0960982224016415#abs0020</t>
  </si>
  <si>
    <t>Buchsbaum, Schnell, 2025</t>
  </si>
  <si>
    <t>DNp03</t>
  </si>
  <si>
    <t>grid of black looming disks</t>
  </si>
  <si>
    <t>DNp01</t>
  </si>
  <si>
    <t>DNp01 aka. Giant Fiber (GF)</t>
  </si>
  <si>
    <t>https://www.nature.com/articles/s41593-019-0413-4</t>
  </si>
  <si>
    <t>DNp07, DNp10</t>
  </si>
  <si>
    <t>black moving bar</t>
  </si>
  <si>
    <t>https://pmc.ncbi.nlm.nih.gov/articles/PMC10263144/</t>
  </si>
  <si>
    <t>Jang et al., 2023</t>
  </si>
  <si>
    <t>DNp06</t>
  </si>
  <si>
    <t>black looming disk</t>
  </si>
  <si>
    <t>https://www.nature.com/articles/s41586-022-05562-8#Abs1</t>
  </si>
  <si>
    <t>Dombrovski et al., 2023</t>
  </si>
  <si>
    <t>DNp02, DNp11</t>
  </si>
  <si>
    <t>3, ED4</t>
  </si>
  <si>
    <t>black looming disks</t>
  </si>
  <si>
    <t>Suver et al., 2016</t>
  </si>
  <si>
    <t>DNp20, DNp22, DNp15</t>
  </si>
  <si>
    <t>3, 4</t>
  </si>
  <si>
    <t>DNp20 aka. DNOVS1; DNp22 aka. DNOVS2; DNp15 aka. DNHS1</t>
  </si>
  <si>
    <t>https://www.nature.com/articles/s41467-018-06506-5</t>
  </si>
  <si>
    <t>Li et al., 2018</t>
  </si>
  <si>
    <t>2, S2</t>
  </si>
  <si>
    <t>whole-cell patch-clamp; two-photon calcium imaging (GCaMP6m)</t>
  </si>
  <si>
    <t>5thsLNv_LNd6 aka. 5th s-LN_v; SLP249 aka. DN3_a; LNd_b aka. sNPF-LN_d; SLP463 aka. DN2; LNd_c aka. Cry-neg.-LN_d</t>
  </si>
  <si>
    <t>Visual sensitivity</t>
  </si>
  <si>
    <t>PVLP133</t>
  </si>
  <si>
    <t>PLP219</t>
  </si>
  <si>
    <t>PVLP112, PVLP113</t>
  </si>
  <si>
    <t>TuTuB*</t>
  </si>
  <si>
    <t>TuBu01</t>
  </si>
  <si>
    <t>TuBu02, TuBu03, TuBu04, TuBu05</t>
  </si>
  <si>
    <t>TuBu06, TuBu07, TuBu08, TuBu09, TuBu10</t>
  </si>
  <si>
    <t>ER2*</t>
  </si>
  <si>
    <t>ER4d, ER3*</t>
  </si>
  <si>
    <t>ER4m</t>
  </si>
  <si>
    <t>EPG</t>
  </si>
  <si>
    <t>KCg-d</t>
  </si>
  <si>
    <t>Kcab*</t>
  </si>
  <si>
    <t>DNp20</t>
  </si>
  <si>
    <t>DNp22</t>
  </si>
  <si>
    <t>DNp15</t>
  </si>
  <si>
    <t>PS321</t>
  </si>
  <si>
    <t>PS072</t>
  </si>
  <si>
    <t>DNp02</t>
  </si>
  <si>
    <t>DNp11</t>
  </si>
  <si>
    <t>DNp07</t>
  </si>
  <si>
    <t>DNp10</t>
  </si>
  <si>
    <t>s-LNv</t>
  </si>
  <si>
    <t>l-LNv</t>
  </si>
  <si>
    <t>5thsLNv_LNd6</t>
  </si>
  <si>
    <t>DN1a</t>
  </si>
  <si>
    <t>SLP249</t>
  </si>
  <si>
    <t>LNd_b</t>
  </si>
  <si>
    <t>DN1pA, DN1pB</t>
  </si>
  <si>
    <t>SLP463</t>
  </si>
  <si>
    <t>LNd_c</t>
  </si>
  <si>
    <t>Contrast selectivity</t>
  </si>
  <si>
    <t>T5*</t>
  </si>
  <si>
    <t>OFF</t>
  </si>
  <si>
    <t>L3</t>
  </si>
  <si>
    <t>ON</t>
  </si>
  <si>
    <t>LPLC2</t>
  </si>
  <si>
    <t>LC4</t>
  </si>
  <si>
    <t>LC12</t>
  </si>
  <si>
    <t>LC16</t>
  </si>
  <si>
    <t>LC21</t>
  </si>
  <si>
    <t>LC25</t>
  </si>
  <si>
    <t>LC26</t>
  </si>
  <si>
    <t>LPLC1</t>
  </si>
  <si>
    <t>LC17</t>
  </si>
  <si>
    <t>LC6</t>
  </si>
  <si>
    <t>FWHMx</t>
  </si>
  <si>
    <t>FWHMy</t>
  </si>
  <si>
    <t>sx</t>
  </si>
  <si>
    <t>sy</t>
  </si>
  <si>
    <t>size</t>
  </si>
  <si>
    <t>Arenz et al, 2017, Fig 2</t>
  </si>
  <si>
    <t>Drews et al, 2020, Fig S3</t>
  </si>
  <si>
    <t>Gruntman et al, 2018, Fig 2</t>
  </si>
  <si>
    <t>Gruntman et al, 2019, Fig 2</t>
  </si>
  <si>
    <t>LC11</t>
  </si>
  <si>
    <t>Klapoetke et al, 2022, Table S4</t>
  </si>
  <si>
    <t>LC15</t>
  </si>
  <si>
    <t>LC18</t>
  </si>
  <si>
    <t>Marimoto et al, 2020, Fig 3 Supp 3</t>
  </si>
  <si>
    <t>Marimoto et al, 2020, Fig 3 Supp 1</t>
  </si>
  <si>
    <t>Ribeiro et al, 2018, Fig 5</t>
  </si>
  <si>
    <t>Omoto et al, 2017, Fig. 6</t>
  </si>
  <si>
    <t>Omoto et al, 2017, Fig. 5</t>
  </si>
  <si>
    <t>ER2_c</t>
  </si>
  <si>
    <t>Garner et al, 2024, Fig. 5</t>
  </si>
  <si>
    <t>ER4d</t>
  </si>
  <si>
    <t>Garner et al, 2024, Fig 5</t>
  </si>
  <si>
    <t>Buchsbaum, Schnell, 2025, Fig. 1</t>
  </si>
  <si>
    <t>l-LNv, s-LNv, 5thsLNv_LNd6, DN1a, SLP249, LNd_b, DN1p*, SLP463, LNd_c</t>
  </si>
  <si>
    <t>LC9, LC16, LC26</t>
  </si>
  <si>
    <t>Comments on exclusion of data, cell type naming, and combined driver lines.</t>
  </si>
  <si>
    <t>LC6, PVLP008_a*, PVLP133</t>
  </si>
  <si>
    <t>PVLP008_a*</t>
  </si>
  <si>
    <r>
      <t xml:space="preserve">Per-cell-type visual-sensitivity for central brain neurons (CBNs). Used in </t>
    </r>
    <r>
      <rPr>
        <b/>
        <sz val="10"/>
        <color rgb="FF000000"/>
        <rFont val="Arial"/>
        <family val="2"/>
        <scheme val="minor"/>
      </rPr>
      <t>Fig. 5a</t>
    </r>
    <r>
      <rPr>
        <sz val="10"/>
        <color rgb="FF000000"/>
        <rFont val="Arial"/>
        <family val="2"/>
        <scheme val="minor"/>
      </rPr>
      <t>.</t>
    </r>
  </si>
  <si>
    <r>
      <t xml:space="preserve">Per-cell-type ON/OFF contrast selectivity. Used in </t>
    </r>
    <r>
      <rPr>
        <b/>
        <sz val="10"/>
        <color rgb="FF000000"/>
        <rFont val="Arial"/>
        <family val="2"/>
        <scheme val="minor"/>
      </rPr>
      <t>Figs. 3d</t>
    </r>
    <r>
      <rPr>
        <sz val="10"/>
        <color rgb="FF000000"/>
        <rFont val="Arial"/>
        <family val="2"/>
        <scheme val="minor"/>
      </rPr>
      <t xml:space="preserve">, </t>
    </r>
    <r>
      <rPr>
        <b/>
        <sz val="10"/>
        <color rgb="FF000000"/>
        <rFont val="Arial"/>
        <family val="2"/>
        <scheme val="minor"/>
      </rPr>
      <t xml:space="preserve">5d </t>
    </r>
    <r>
      <rPr>
        <sz val="10"/>
        <color rgb="FF000000"/>
        <rFont val="Arial"/>
        <family val="2"/>
        <scheme val="minor"/>
      </rPr>
      <t>left.</t>
    </r>
  </si>
  <si>
    <t>Physiological recording technique.</t>
  </si>
  <si>
    <t>5a, 5d left</t>
  </si>
  <si>
    <t>https://www.sciencedirect.com/science/article/pii/S0960982219301381#abs0020</t>
  </si>
  <si>
    <t>Ache et al, 2019</t>
  </si>
  <si>
    <t>5a, 5d left, 5d right</t>
  </si>
  <si>
    <t>5a, 5d right</t>
  </si>
  <si>
    <t>https://www.nature.com/articles/s41586-024-07967-z</t>
  </si>
  <si>
    <t>https://www.jneurosci.org/content/36/46/11768</t>
  </si>
  <si>
    <t>TuBu02-10</t>
  </si>
  <si>
    <r>
      <t>Per-cell-type experimental receptive-field sizes from Currier &amp; Clandinin. Size_ellipse used in</t>
    </r>
    <r>
      <rPr>
        <b/>
        <sz val="10"/>
        <color rgb="FF000000"/>
        <rFont val="Arial"/>
        <family val="2"/>
        <scheme val="minor"/>
      </rPr>
      <t xml:space="preserve"> Fig. S7d</t>
    </r>
    <r>
      <rPr>
        <sz val="10"/>
        <color rgb="FF000000"/>
        <rFont val="Arial"/>
        <family val="2"/>
        <scheme val="minor"/>
      </rPr>
      <t>.</t>
    </r>
  </si>
  <si>
    <t>3d, S7d</t>
  </si>
  <si>
    <t>3d, 4e, S7b-c</t>
  </si>
  <si>
    <t>ER3*, ER4d in the same driver line; for RF size measurements use Garner et al., 2024 because cell type specific</t>
  </si>
  <si>
    <t>Ache et al., 2019b</t>
  </si>
  <si>
    <r>
      <t>Per-cell-type experimental receptive-field sizes. Used in</t>
    </r>
    <r>
      <rPr>
        <b/>
        <sz val="10"/>
        <color rgb="FF000000"/>
        <rFont val="Arial"/>
        <family val="2"/>
        <scheme val="minor"/>
      </rPr>
      <t xml:space="preserve"> Figs. 4e, S7b-c, 5d </t>
    </r>
    <r>
      <rPr>
        <sz val="10"/>
        <color rgb="FF000000"/>
        <rFont val="Arial"/>
        <family val="2"/>
        <scheme val="minor"/>
      </rPr>
      <t>right.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</si>
</sst>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u/>
      <sz val="10"/>
      <color rgb="FF0000FF"/>
      <name val="Arial"/>
    </font>
    <font>
      <sz val="10"/>
      <color theme="1"/>
      <name val="Arial"/>
      <scheme val="minor"/>
    </font>
    <font>
      <sz val="10"/>
      <color rgb="FF6AA84F"/>
      <name val="Arial"/>
      <scheme val="minor"/>
    </font>
    <font>
      <b/>
      <sz val="10"/>
      <name val="Arial"/>
      <family val="2"/>
      <scheme val="minor"/>
    </font>
    <font>
      <sz val="10"/>
      <name val="Arial"/>
      <family val="2"/>
      <scheme val="minor"/>
    </font>
    <font>
      <sz val="11"/>
      <name val="Calibri"/>
      <family val="2"/>
    </font>
    <font>
      <sz val="10"/>
      <name val="Arial"/>
      <family val="2"/>
    </font>
    <font>
      <b/>
      <sz val="11"/>
      <name val="Calibri"/>
      <family val="2"/>
    </font>
    <font>
      <u/>
      <sz val="10"/>
      <color theme="1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3"/>
      <name val="Arial"/>
    </font>
    <font>
      <b/>
      <sz val="10"/>
      <name val="Arial"/>
    </font>
    <font>
      <u/>
      <sz val="10"/>
      <name val="Arial"/>
      <family val="2"/>
    </font>
    <font>
      <u/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0" fillId="0" borderId="0"/>
    <xf numFmtId="0" fontId="10" fillId="0" borderId="0"/>
    <xf numFmtId="0" fontId="12" fillId="0" borderId="0"/>
    <xf numFmtId="0" fontId="13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2" fillId="0" borderId="0" xfId="0" applyFont="1"/>
    <xf numFmtId="0" fontId="3" fillId="0" borderId="0" xfId="0" applyFont="1"/>
    <xf numFmtId="49" fontId="3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7" fillId="0" borderId="0" xfId="0" applyFont="1" applyAlignment="1">
      <alignment horizontal="right"/>
    </xf>
    <xf numFmtId="0" fontId="11" fillId="0" borderId="0" xfId="0" applyFont="1"/>
    <xf numFmtId="0" fontId="12" fillId="0" borderId="0" xfId="0" applyFont="1"/>
    <xf numFmtId="0" fontId="10" fillId="0" borderId="0" xfId="1"/>
    <xf numFmtId="0" fontId="13" fillId="0" borderId="0" xfId="1" applyFont="1"/>
    <xf numFmtId="49" fontId="11" fillId="0" borderId="0" xfId="0" applyNumberFormat="1" applyFont="1"/>
    <xf numFmtId="0" fontId="14" fillId="0" borderId="0" xfId="0" applyFont="1"/>
    <xf numFmtId="0" fontId="15" fillId="0" borderId="0" xfId="0" applyFont="1"/>
    <xf numFmtId="0" fontId="0" fillId="0" borderId="0" xfId="0" applyAlignment="1">
      <alignment vertical="top" wrapText="1"/>
    </xf>
    <xf numFmtId="0" fontId="16" fillId="0" borderId="0" xfId="0" applyFont="1"/>
    <xf numFmtId="0" fontId="17" fillId="0" borderId="0" xfId="0" applyFont="1"/>
    <xf numFmtId="49" fontId="6" fillId="0" borderId="0" xfId="0" applyNumberFormat="1" applyFont="1"/>
    <xf numFmtId="0" fontId="12" fillId="0" borderId="0" xfId="0" applyFont="1" applyAlignment="1">
      <alignment vertical="top" wrapText="1"/>
    </xf>
    <xf numFmtId="0" fontId="18" fillId="0" borderId="0" xfId="3" applyFont="1"/>
    <xf numFmtId="0" fontId="11" fillId="0" borderId="0" xfId="3" applyFont="1"/>
  </cellXfs>
  <cellStyles count="5">
    <cellStyle name="Hyperlink" xfId="1" builtinId="8"/>
    <cellStyle name="Hyperlink 2" xfId="2" xr:uid="{00000000-0005-0000-0000-000002000000}"/>
    <cellStyle name="Hyperlink 3" xfId="4" xr:uid="{E4575D55-DF5D-4014-86D5-640415C4EDE2}"/>
    <cellStyle name="Normal" xfId="0" builtinId="0"/>
    <cellStyle name="Normal 2" xfId="3" xr:uid="{24C70ED4-94AA-4E1D-987E-1FF2221888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ell.com/cell/fulltext/S0092-8674(18)30788-8" TargetMode="External"/><Relationship Id="rId13" Type="http://schemas.openxmlformats.org/officeDocument/2006/relationships/hyperlink" Target="https://www.nature.com/articles/nn.4628" TargetMode="External"/><Relationship Id="rId18" Type="http://schemas.openxmlformats.org/officeDocument/2006/relationships/hyperlink" Target="https://www.sciencedirect.com/science/article/pii/S0960982224016415" TargetMode="External"/><Relationship Id="rId3" Type="http://schemas.openxmlformats.org/officeDocument/2006/relationships/hyperlink" Target="https://www.nature.com/articles/s41593-017-0046-4" TargetMode="External"/><Relationship Id="rId21" Type="http://schemas.openxmlformats.org/officeDocument/2006/relationships/hyperlink" Target="https://www.nature.com/articles/s41586-022-05562-8" TargetMode="External"/><Relationship Id="rId7" Type="http://schemas.openxmlformats.org/officeDocument/2006/relationships/hyperlink" Target="https://elifesciences.org/articles/82587" TargetMode="External"/><Relationship Id="rId12" Type="http://schemas.openxmlformats.org/officeDocument/2006/relationships/hyperlink" Target="https://www.nature.com/articles/nature12601" TargetMode="External"/><Relationship Id="rId17" Type="http://schemas.openxmlformats.org/officeDocument/2006/relationships/hyperlink" Target="https://www.sciencedirect.com/science/article/pii/S0960982222000197" TargetMode="External"/><Relationship Id="rId2" Type="http://schemas.openxmlformats.org/officeDocument/2006/relationships/hyperlink" Target="https://pubmed.ncbi.nlm.nih.gov/28343964/" TargetMode="External"/><Relationship Id="rId16" Type="http://schemas.openxmlformats.org/officeDocument/2006/relationships/hyperlink" Target="https://www.nature.com/articles/s41593-025-01948-9" TargetMode="External"/><Relationship Id="rId20" Type="http://schemas.openxmlformats.org/officeDocument/2006/relationships/hyperlink" Target="https://pmc.ncbi.nlm.nih.gov/articles/PMC10263144/" TargetMode="External"/><Relationship Id="rId1" Type="http://schemas.openxmlformats.org/officeDocument/2006/relationships/hyperlink" Target="https://pubmed.ncbi.nlm.nih.gov/31928873/" TargetMode="External"/><Relationship Id="rId6" Type="http://schemas.openxmlformats.org/officeDocument/2006/relationships/hyperlink" Target="https://www.sciencedirect.com/science/article/pii/S0896627322001787" TargetMode="External"/><Relationship Id="rId11" Type="http://schemas.openxmlformats.org/officeDocument/2006/relationships/hyperlink" Target="https://www.cell.com/current-biology/fulltext/S0960-9822(17)30265-8" TargetMode="External"/><Relationship Id="rId5" Type="http://schemas.openxmlformats.org/officeDocument/2006/relationships/hyperlink" Target="https://www.cell.com/cell/abstract/S0092-8674(25)00518-5" TargetMode="External"/><Relationship Id="rId15" Type="http://schemas.openxmlformats.org/officeDocument/2006/relationships/hyperlink" Target="https://www.cell.com/current-biology/fulltext/S0960-9822(22)00592-9" TargetMode="External"/><Relationship Id="rId23" Type="http://schemas.openxmlformats.org/officeDocument/2006/relationships/hyperlink" Target="https://www.sciencedirect.com/science/article/pii/S0960982219301381" TargetMode="External"/><Relationship Id="rId10" Type="http://schemas.openxmlformats.org/officeDocument/2006/relationships/hyperlink" Target="https://elifesciences.org/articles/63225" TargetMode="External"/><Relationship Id="rId19" Type="http://schemas.openxmlformats.org/officeDocument/2006/relationships/hyperlink" Target="https://www.nature.com/articles/s41593-019-0413-4" TargetMode="External"/><Relationship Id="rId4" Type="http://schemas.openxmlformats.org/officeDocument/2006/relationships/hyperlink" Target="https://elifesciences.org/articles/50706" TargetMode="External"/><Relationship Id="rId9" Type="http://schemas.openxmlformats.org/officeDocument/2006/relationships/hyperlink" Target="https://elifesciences.org/articles/57685" TargetMode="External"/><Relationship Id="rId14" Type="http://schemas.openxmlformats.org/officeDocument/2006/relationships/hyperlink" Target="https://elifesciences.org/articles/14009" TargetMode="External"/><Relationship Id="rId22" Type="http://schemas.openxmlformats.org/officeDocument/2006/relationships/hyperlink" Target="https://www.nature.com/articles/s41467-018-06506-5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workbookViewId="0">
      <selection activeCell="B7" sqref="B7"/>
    </sheetView>
  </sheetViews>
  <sheetFormatPr defaultRowHeight="13.2" x14ac:dyDescent="0.25"/>
  <cols>
    <col min="1" max="1" width="34" customWidth="1"/>
    <col min="2" max="2" width="94.44140625" customWidth="1"/>
  </cols>
  <sheetData>
    <row r="1" spans="1:2" ht="16.8" customHeight="1" x14ac:dyDescent="0.3">
      <c r="A1" s="19" t="s">
        <v>51</v>
      </c>
      <c r="B1" s="20"/>
    </row>
    <row r="2" spans="1:2" x14ac:dyDescent="0.25">
      <c r="B2" s="20"/>
    </row>
    <row r="3" spans="1:2" x14ac:dyDescent="0.25">
      <c r="A3" s="21" t="s">
        <v>52</v>
      </c>
      <c r="B3" s="20"/>
    </row>
    <row r="4" spans="1:2" x14ac:dyDescent="0.25">
      <c r="A4" t="s">
        <v>53</v>
      </c>
      <c r="B4" s="20" t="s">
        <v>54</v>
      </c>
    </row>
    <row r="5" spans="1:2" x14ac:dyDescent="0.25">
      <c r="A5" t="s">
        <v>55</v>
      </c>
      <c r="B5" s="24" t="s">
        <v>286</v>
      </c>
    </row>
    <row r="6" spans="1:2" ht="14.4" customHeight="1" x14ac:dyDescent="0.25">
      <c r="A6" t="s">
        <v>56</v>
      </c>
      <c r="B6" s="24" t="s">
        <v>287</v>
      </c>
    </row>
    <row r="7" spans="1:2" x14ac:dyDescent="0.25">
      <c r="A7" t="s">
        <v>57</v>
      </c>
      <c r="B7" s="24" t="s">
        <v>302</v>
      </c>
    </row>
    <row r="8" spans="1:2" x14ac:dyDescent="0.25">
      <c r="A8" t="s">
        <v>58</v>
      </c>
      <c r="B8" s="24" t="s">
        <v>297</v>
      </c>
    </row>
    <row r="9" spans="1:2" x14ac:dyDescent="0.25">
      <c r="B9" s="20"/>
    </row>
    <row r="10" spans="1:2" x14ac:dyDescent="0.25">
      <c r="A10" s="21" t="s">
        <v>59</v>
      </c>
      <c r="B10" s="20"/>
    </row>
    <row r="11" spans="1:2" x14ac:dyDescent="0.25">
      <c r="A11" t="s">
        <v>60</v>
      </c>
      <c r="B11" s="20" t="s">
        <v>61</v>
      </c>
    </row>
    <row r="12" spans="1:2" x14ac:dyDescent="0.25">
      <c r="A12" t="s">
        <v>6</v>
      </c>
      <c r="B12" s="20" t="s">
        <v>62</v>
      </c>
    </row>
    <row r="13" spans="1:2" ht="13.2" customHeight="1" x14ac:dyDescent="0.25">
      <c r="A13" t="s">
        <v>0</v>
      </c>
      <c r="B13" s="20" t="s">
        <v>63</v>
      </c>
    </row>
    <row r="14" spans="1:2" x14ac:dyDescent="0.25">
      <c r="A14" t="s">
        <v>64</v>
      </c>
      <c r="B14" s="20" t="s">
        <v>65</v>
      </c>
    </row>
    <row r="15" spans="1:2" x14ac:dyDescent="0.25">
      <c r="A15" t="s">
        <v>66</v>
      </c>
      <c r="B15" s="20" t="s">
        <v>67</v>
      </c>
    </row>
    <row r="16" spans="1:2" x14ac:dyDescent="0.25">
      <c r="A16" t="s">
        <v>68</v>
      </c>
      <c r="B16" s="20" t="s">
        <v>69</v>
      </c>
    </row>
    <row r="17" spans="1:2" x14ac:dyDescent="0.25">
      <c r="A17" t="s">
        <v>70</v>
      </c>
      <c r="B17" s="20" t="s">
        <v>71</v>
      </c>
    </row>
    <row r="18" spans="1:2" x14ac:dyDescent="0.25">
      <c r="A18" s="13" t="s">
        <v>72</v>
      </c>
      <c r="B18" s="24" t="s">
        <v>73</v>
      </c>
    </row>
    <row r="19" spans="1:2" x14ac:dyDescent="0.25">
      <c r="A19" t="s">
        <v>74</v>
      </c>
      <c r="B19" s="24" t="s">
        <v>288</v>
      </c>
    </row>
    <row r="20" spans="1:2" x14ac:dyDescent="0.25">
      <c r="A20" t="s">
        <v>75</v>
      </c>
      <c r="B20" s="20" t="s">
        <v>76</v>
      </c>
    </row>
    <row r="21" spans="1:2" x14ac:dyDescent="0.25">
      <c r="A21" t="s">
        <v>77</v>
      </c>
      <c r="B21" s="20" t="s">
        <v>283</v>
      </c>
    </row>
    <row r="22" spans="1:2" x14ac:dyDescent="0.25">
      <c r="B22" s="20"/>
    </row>
    <row r="23" spans="1:2" x14ac:dyDescent="0.25">
      <c r="A23" s="21" t="s">
        <v>78</v>
      </c>
      <c r="B23" s="20"/>
    </row>
    <row r="24" spans="1:2" x14ac:dyDescent="0.25">
      <c r="A24" t="s">
        <v>79</v>
      </c>
      <c r="B24" s="20" t="s">
        <v>80</v>
      </c>
    </row>
    <row r="25" spans="1:2" x14ac:dyDescent="0.25">
      <c r="A25" t="s">
        <v>81</v>
      </c>
      <c r="B25" s="20" t="s">
        <v>82</v>
      </c>
    </row>
    <row r="26" spans="1:2" x14ac:dyDescent="0.25">
      <c r="A26" s="14" t="s">
        <v>57</v>
      </c>
      <c r="B26" s="24" t="s">
        <v>83</v>
      </c>
    </row>
    <row r="27" spans="1:2" x14ac:dyDescent="0.25">
      <c r="A27" t="s">
        <v>84</v>
      </c>
      <c r="B27" s="20" t="s">
        <v>85</v>
      </c>
    </row>
    <row r="28" spans="1:2" x14ac:dyDescent="0.25">
      <c r="B28" s="20"/>
    </row>
  </sheetData>
  <pageMargins left="0.75" right="0.75" top="1" bottom="1" header="0.5" footer="0.5"/>
  <pageSetup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S1002"/>
  <sheetViews>
    <sheetView workbookViewId="0">
      <pane ySplit="1" topLeftCell="A2" activePane="bottomLeft" state="frozen"/>
      <selection pane="bottomLeft" activeCell="B21" sqref="B21"/>
    </sheetView>
  </sheetViews>
  <sheetFormatPr defaultColWidth="12.6640625" defaultRowHeight="15.75" customHeight="1" x14ac:dyDescent="0.25"/>
  <cols>
    <col min="1" max="1" width="48.5546875" customWidth="1"/>
    <col min="2" max="2" width="20.88671875" customWidth="1"/>
    <col min="3" max="3" width="46.109375" style="8" customWidth="1"/>
    <col min="4" max="4" width="16.88671875" bestFit="1" customWidth="1"/>
    <col min="5" max="5" width="19.21875" bestFit="1" customWidth="1"/>
    <col min="6" max="6" width="17.88671875" bestFit="1" customWidth="1"/>
    <col min="7" max="7" width="18.33203125" customWidth="1"/>
    <col min="8" max="8" width="19" bestFit="1" customWidth="1"/>
    <col min="9" max="9" width="36.44140625" customWidth="1"/>
    <col min="10" max="10" width="39.6640625" customWidth="1"/>
  </cols>
  <sheetData>
    <row r="1" spans="1:19" ht="13.2" customHeight="1" x14ac:dyDescent="0.25">
      <c r="A1" s="1" t="s">
        <v>60</v>
      </c>
      <c r="B1" s="1" t="s">
        <v>6</v>
      </c>
      <c r="C1" s="7" t="s">
        <v>0</v>
      </c>
      <c r="D1" s="1" t="s">
        <v>64</v>
      </c>
      <c r="E1" s="1" t="s">
        <v>66</v>
      </c>
      <c r="F1" s="1" t="s">
        <v>68</v>
      </c>
      <c r="G1" s="2" t="s">
        <v>86</v>
      </c>
      <c r="H1" s="1" t="s">
        <v>72</v>
      </c>
      <c r="I1" s="1" t="s">
        <v>74</v>
      </c>
      <c r="J1" s="1" t="s">
        <v>75</v>
      </c>
      <c r="K1" s="1" t="s">
        <v>77</v>
      </c>
      <c r="L1" s="1"/>
      <c r="M1" s="1"/>
      <c r="N1" s="1"/>
      <c r="O1" s="1"/>
      <c r="P1" s="1"/>
      <c r="Q1" s="1"/>
      <c r="R1" s="1"/>
      <c r="S1" s="1"/>
    </row>
    <row r="2" spans="1:19" s="14" customFormat="1" ht="13.2" customHeight="1" x14ac:dyDescent="0.25">
      <c r="A2" s="15" t="s">
        <v>87</v>
      </c>
      <c r="B2" s="13" t="s">
        <v>88</v>
      </c>
      <c r="C2" s="8" t="s">
        <v>89</v>
      </c>
      <c r="D2" s="13" t="s">
        <v>90</v>
      </c>
      <c r="E2" s="13" t="s">
        <v>90</v>
      </c>
      <c r="F2" s="13" t="s">
        <v>90</v>
      </c>
      <c r="G2" s="17" t="s">
        <v>91</v>
      </c>
      <c r="H2" s="13" t="s">
        <v>299</v>
      </c>
      <c r="I2" t="s">
        <v>92</v>
      </c>
      <c r="J2" s="13" t="s">
        <v>93</v>
      </c>
      <c r="L2" s="13"/>
      <c r="M2" s="13"/>
      <c r="N2" s="13"/>
      <c r="O2" s="13"/>
      <c r="P2" s="13"/>
      <c r="Q2" s="13"/>
      <c r="R2" s="13"/>
      <c r="S2" s="13"/>
    </row>
    <row r="3" spans="1:19" s="14" customFormat="1" ht="13.2" customHeight="1" x14ac:dyDescent="0.25">
      <c r="A3" s="16" t="s">
        <v>94</v>
      </c>
      <c r="B3" s="14" t="s">
        <v>95</v>
      </c>
      <c r="C3" s="8" t="s">
        <v>96</v>
      </c>
      <c r="D3" s="13" t="s">
        <v>90</v>
      </c>
      <c r="E3" s="13" t="s">
        <v>90</v>
      </c>
      <c r="F3" s="13" t="s">
        <v>90</v>
      </c>
      <c r="G3" s="17" t="s">
        <v>97</v>
      </c>
      <c r="H3" s="13" t="s">
        <v>299</v>
      </c>
      <c r="I3" t="s">
        <v>92</v>
      </c>
      <c r="J3" s="13" t="s">
        <v>98</v>
      </c>
      <c r="L3" s="13"/>
      <c r="M3" s="13"/>
      <c r="N3" s="13"/>
      <c r="O3" s="13"/>
      <c r="P3" s="13"/>
      <c r="Q3" s="13"/>
      <c r="R3" s="13"/>
      <c r="S3" s="13"/>
    </row>
    <row r="4" spans="1:19" s="14" customFormat="1" ht="13.2" customHeight="1" x14ac:dyDescent="0.25">
      <c r="A4" s="15" t="s">
        <v>99</v>
      </c>
      <c r="B4" s="14" t="s">
        <v>100</v>
      </c>
      <c r="C4" s="8" t="s">
        <v>33</v>
      </c>
      <c r="D4" s="13" t="s">
        <v>90</v>
      </c>
      <c r="E4" s="13" t="s">
        <v>90</v>
      </c>
      <c r="F4" s="13" t="s">
        <v>90</v>
      </c>
      <c r="G4" s="17" t="s">
        <v>101</v>
      </c>
      <c r="H4" s="13" t="s">
        <v>299</v>
      </c>
      <c r="I4" t="s">
        <v>102</v>
      </c>
      <c r="J4" s="13" t="s">
        <v>103</v>
      </c>
      <c r="L4" s="13"/>
      <c r="M4" s="13"/>
      <c r="N4" s="13"/>
      <c r="O4" s="13"/>
      <c r="P4" s="13"/>
      <c r="Q4" s="13"/>
      <c r="R4" s="13"/>
      <c r="S4" s="13"/>
    </row>
    <row r="5" spans="1:19" s="14" customFormat="1" ht="13.2" customHeight="1" x14ac:dyDescent="0.25">
      <c r="A5" s="15" t="s">
        <v>104</v>
      </c>
      <c r="B5" s="14" t="s">
        <v>105</v>
      </c>
      <c r="C5" s="8" t="s">
        <v>106</v>
      </c>
      <c r="D5" s="13" t="s">
        <v>90</v>
      </c>
      <c r="E5" s="13" t="s">
        <v>90</v>
      </c>
      <c r="F5" s="13" t="s">
        <v>90</v>
      </c>
      <c r="G5" s="17" t="s">
        <v>97</v>
      </c>
      <c r="H5" s="13" t="s">
        <v>299</v>
      </c>
      <c r="I5" t="s">
        <v>102</v>
      </c>
      <c r="J5" s="13" t="s">
        <v>103</v>
      </c>
      <c r="L5" s="13"/>
      <c r="M5" s="13"/>
      <c r="N5" s="13"/>
      <c r="O5" s="13"/>
      <c r="P5" s="13"/>
      <c r="Q5" s="13"/>
      <c r="R5" s="13"/>
      <c r="S5" s="13"/>
    </row>
    <row r="6" spans="1:19" s="14" customFormat="1" ht="13.2" customHeight="1" x14ac:dyDescent="0.25">
      <c r="A6" s="15" t="s">
        <v>107</v>
      </c>
      <c r="B6" s="14" t="s">
        <v>8</v>
      </c>
      <c r="C6" s="8" t="s">
        <v>108</v>
      </c>
      <c r="D6" s="13" t="s">
        <v>90</v>
      </c>
      <c r="E6" s="13" t="s">
        <v>90</v>
      </c>
      <c r="F6" s="13" t="s">
        <v>90</v>
      </c>
      <c r="G6" s="17" t="s">
        <v>109</v>
      </c>
      <c r="H6" s="13" t="s">
        <v>298</v>
      </c>
      <c r="I6" t="s">
        <v>110</v>
      </c>
      <c r="J6" t="s">
        <v>111</v>
      </c>
      <c r="K6" s="13"/>
      <c r="L6" s="13"/>
      <c r="M6" s="13"/>
      <c r="N6" s="13"/>
      <c r="O6" s="13"/>
      <c r="P6" s="13"/>
      <c r="Q6" s="13"/>
      <c r="R6" s="13"/>
      <c r="S6" s="13"/>
    </row>
    <row r="7" spans="1:19" ht="13.2" customHeight="1" x14ac:dyDescent="0.25">
      <c r="A7" s="3" t="s">
        <v>112</v>
      </c>
      <c r="B7" s="4" t="s">
        <v>113</v>
      </c>
      <c r="C7" s="8" t="s">
        <v>114</v>
      </c>
      <c r="D7" s="4" t="s">
        <v>90</v>
      </c>
      <c r="E7" s="4" t="s">
        <v>90</v>
      </c>
      <c r="F7" s="4" t="s">
        <v>90</v>
      </c>
      <c r="G7" s="17" t="s">
        <v>115</v>
      </c>
      <c r="H7" s="13" t="s">
        <v>299</v>
      </c>
      <c r="I7" t="s">
        <v>92</v>
      </c>
      <c r="J7" t="s">
        <v>116</v>
      </c>
      <c r="K7" s="13" t="s">
        <v>117</v>
      </c>
    </row>
    <row r="8" spans="1:19" ht="13.2" customHeight="1" x14ac:dyDescent="0.25">
      <c r="A8" s="3" t="s">
        <v>118</v>
      </c>
      <c r="B8" s="4" t="s">
        <v>119</v>
      </c>
      <c r="C8" s="8" t="s">
        <v>282</v>
      </c>
      <c r="D8" s="4" t="s">
        <v>90</v>
      </c>
      <c r="E8" s="4" t="s">
        <v>90</v>
      </c>
      <c r="F8" s="4" t="s">
        <v>90</v>
      </c>
      <c r="G8" s="17" t="s">
        <v>121</v>
      </c>
      <c r="H8" s="13" t="s">
        <v>299</v>
      </c>
      <c r="I8" t="s">
        <v>92</v>
      </c>
      <c r="J8" t="s">
        <v>122</v>
      </c>
      <c r="K8" s="13"/>
    </row>
    <row r="9" spans="1:19" ht="13.2" customHeight="1" x14ac:dyDescent="0.25">
      <c r="A9" s="3" t="s">
        <v>123</v>
      </c>
      <c r="B9" s="4" t="s">
        <v>124</v>
      </c>
      <c r="C9" s="8" t="s">
        <v>125</v>
      </c>
      <c r="D9" s="4" t="s">
        <v>90</v>
      </c>
      <c r="E9" s="4" t="s">
        <v>90</v>
      </c>
      <c r="F9" s="4" t="s">
        <v>90</v>
      </c>
      <c r="G9" s="17" t="s">
        <v>126</v>
      </c>
      <c r="H9" s="13" t="s">
        <v>299</v>
      </c>
      <c r="I9" t="s">
        <v>127</v>
      </c>
      <c r="J9" t="s">
        <v>128</v>
      </c>
    </row>
    <row r="10" spans="1:19" ht="13.2" customHeight="1" x14ac:dyDescent="0.25">
      <c r="A10" s="3" t="s">
        <v>129</v>
      </c>
      <c r="B10" s="4" t="s">
        <v>130</v>
      </c>
      <c r="C10" s="8" t="s">
        <v>284</v>
      </c>
      <c r="D10" s="4" t="s">
        <v>90</v>
      </c>
      <c r="E10" s="4" t="s">
        <v>90</v>
      </c>
      <c r="F10" s="4" t="s">
        <v>90</v>
      </c>
      <c r="G10" s="17" t="s">
        <v>131</v>
      </c>
      <c r="H10" s="13" t="s">
        <v>292</v>
      </c>
      <c r="I10" t="s">
        <v>127</v>
      </c>
      <c r="J10" t="s">
        <v>132</v>
      </c>
    </row>
    <row r="11" spans="1:19" ht="13.2" customHeight="1" x14ac:dyDescent="0.25">
      <c r="A11" s="3" t="s">
        <v>137</v>
      </c>
      <c r="B11" s="4" t="s">
        <v>138</v>
      </c>
      <c r="C11" s="8" t="s">
        <v>139</v>
      </c>
      <c r="D11" s="4" t="s">
        <v>90</v>
      </c>
      <c r="E11" s="4" t="s">
        <v>133</v>
      </c>
      <c r="F11" s="4" t="s">
        <v>133</v>
      </c>
      <c r="G11" s="17" t="s">
        <v>140</v>
      </c>
      <c r="H11" s="13" t="s">
        <v>135</v>
      </c>
      <c r="I11" t="s">
        <v>136</v>
      </c>
      <c r="J11" t="s">
        <v>141</v>
      </c>
      <c r="K11" s="13" t="s">
        <v>142</v>
      </c>
    </row>
    <row r="12" spans="1:19" s="8" customFormat="1" ht="13.2" customHeight="1" x14ac:dyDescent="0.25">
      <c r="A12" s="15" t="s">
        <v>143</v>
      </c>
      <c r="B12" s="8" t="s">
        <v>144</v>
      </c>
      <c r="C12" s="8" t="s">
        <v>296</v>
      </c>
      <c r="D12" s="8" t="s">
        <v>90</v>
      </c>
      <c r="E12" s="8" t="s">
        <v>90</v>
      </c>
      <c r="F12" s="8" t="s">
        <v>90</v>
      </c>
      <c r="G12" s="23" t="s">
        <v>145</v>
      </c>
      <c r="H12" s="8" t="s">
        <v>292</v>
      </c>
      <c r="I12" s="8" t="s">
        <v>127</v>
      </c>
      <c r="J12" t="s">
        <v>146</v>
      </c>
      <c r="K12" s="8" t="s">
        <v>147</v>
      </c>
    </row>
    <row r="13" spans="1:19" s="8" customFormat="1" ht="13.2" customHeight="1" x14ac:dyDescent="0.25">
      <c r="A13" s="22" t="s">
        <v>148</v>
      </c>
      <c r="B13" s="8" t="s">
        <v>149</v>
      </c>
      <c r="C13" s="8" t="s">
        <v>150</v>
      </c>
      <c r="D13" s="8" t="s">
        <v>90</v>
      </c>
      <c r="E13" s="8" t="s">
        <v>90</v>
      </c>
      <c r="F13" s="8" t="s">
        <v>90</v>
      </c>
      <c r="G13" s="23" t="s">
        <v>151</v>
      </c>
      <c r="H13" s="8" t="s">
        <v>289</v>
      </c>
      <c r="I13" s="8" t="s">
        <v>152</v>
      </c>
      <c r="J13" s="8" t="s">
        <v>153</v>
      </c>
      <c r="K13" s="8" t="s">
        <v>300</v>
      </c>
    </row>
    <row r="14" spans="1:19" ht="13.2" customHeight="1" x14ac:dyDescent="0.25">
      <c r="A14" s="3" t="s">
        <v>154</v>
      </c>
      <c r="B14" s="4" t="s">
        <v>155</v>
      </c>
      <c r="C14" s="8" t="s">
        <v>156</v>
      </c>
      <c r="D14" s="4" t="s">
        <v>90</v>
      </c>
      <c r="E14" s="4" t="s">
        <v>133</v>
      </c>
      <c r="F14" s="4" t="s">
        <v>133</v>
      </c>
      <c r="G14" s="17" t="s">
        <v>121</v>
      </c>
      <c r="H14" s="13" t="s">
        <v>135</v>
      </c>
      <c r="I14" t="s">
        <v>92</v>
      </c>
      <c r="J14" t="s">
        <v>157</v>
      </c>
      <c r="K14" s="6"/>
      <c r="L14" s="6"/>
      <c r="M14" s="6"/>
      <c r="N14" s="6"/>
      <c r="O14" s="6"/>
      <c r="P14" s="6"/>
      <c r="Q14" s="6"/>
      <c r="R14" s="6"/>
      <c r="S14" s="6"/>
    </row>
    <row r="15" spans="1:19" ht="13.2" customHeight="1" x14ac:dyDescent="0.25">
      <c r="A15" s="3" t="s">
        <v>294</v>
      </c>
      <c r="B15" s="4" t="s">
        <v>158</v>
      </c>
      <c r="C15" s="8" t="s">
        <v>159</v>
      </c>
      <c r="D15" s="4" t="s">
        <v>90</v>
      </c>
      <c r="E15" s="4" t="s">
        <v>133</v>
      </c>
      <c r="F15" s="4" t="s">
        <v>90</v>
      </c>
      <c r="G15" s="17" t="s">
        <v>160</v>
      </c>
      <c r="H15" s="13" t="s">
        <v>293</v>
      </c>
      <c r="I15" t="s">
        <v>161</v>
      </c>
      <c r="J15" t="s">
        <v>162</v>
      </c>
      <c r="K15" s="6"/>
      <c r="L15" s="6"/>
      <c r="M15" s="6"/>
      <c r="N15" s="6"/>
      <c r="O15" s="6"/>
      <c r="P15" s="6"/>
      <c r="Q15" s="6"/>
      <c r="R15" s="6"/>
      <c r="S15" s="6"/>
    </row>
    <row r="16" spans="1:19" ht="13.2" customHeight="1" x14ac:dyDescent="0.25">
      <c r="A16" s="3" t="s">
        <v>163</v>
      </c>
      <c r="B16" s="4" t="s">
        <v>164</v>
      </c>
      <c r="C16" s="8" t="s">
        <v>165</v>
      </c>
      <c r="D16" s="4" t="s">
        <v>90</v>
      </c>
      <c r="E16" s="4" t="s">
        <v>133</v>
      </c>
      <c r="F16" s="4" t="s">
        <v>133</v>
      </c>
      <c r="G16" s="17" t="s">
        <v>97</v>
      </c>
      <c r="H16" s="13" t="s">
        <v>135</v>
      </c>
      <c r="I16" t="s">
        <v>102</v>
      </c>
      <c r="J16" t="s">
        <v>166</v>
      </c>
    </row>
    <row r="17" spans="1:11" ht="13.2" customHeight="1" x14ac:dyDescent="0.25">
      <c r="A17" s="15" t="s">
        <v>167</v>
      </c>
      <c r="B17" s="4" t="s">
        <v>168</v>
      </c>
      <c r="C17" s="8" t="s">
        <v>169</v>
      </c>
      <c r="D17" s="4" t="s">
        <v>90</v>
      </c>
      <c r="E17" s="4" t="s">
        <v>90</v>
      </c>
      <c r="F17" s="13" t="s">
        <v>133</v>
      </c>
      <c r="G17" s="17" t="s">
        <v>170</v>
      </c>
      <c r="H17" s="13" t="s">
        <v>289</v>
      </c>
      <c r="I17" t="s">
        <v>171</v>
      </c>
      <c r="J17" t="s">
        <v>166</v>
      </c>
      <c r="K17" s="13" t="s">
        <v>172</v>
      </c>
    </row>
    <row r="18" spans="1:11" ht="13.2" customHeight="1" x14ac:dyDescent="0.25">
      <c r="A18" s="3" t="s">
        <v>173</v>
      </c>
      <c r="B18" s="4" t="s">
        <v>174</v>
      </c>
      <c r="C18" s="8" t="s">
        <v>175</v>
      </c>
      <c r="D18" s="4" t="s">
        <v>90</v>
      </c>
      <c r="E18" s="4" t="s">
        <v>133</v>
      </c>
      <c r="F18" s="4" t="s">
        <v>133</v>
      </c>
      <c r="G18" s="17" t="s">
        <v>176</v>
      </c>
      <c r="H18" s="13" t="s">
        <v>135</v>
      </c>
      <c r="I18" t="s">
        <v>177</v>
      </c>
      <c r="J18" t="s">
        <v>178</v>
      </c>
      <c r="K18" s="13" t="s">
        <v>179</v>
      </c>
    </row>
    <row r="19" spans="1:11" ht="13.2" customHeight="1" x14ac:dyDescent="0.25">
      <c r="A19" s="3" t="s">
        <v>180</v>
      </c>
      <c r="B19" s="4" t="s">
        <v>181</v>
      </c>
      <c r="C19" s="8" t="s">
        <v>182</v>
      </c>
      <c r="D19" s="4" t="s">
        <v>90</v>
      </c>
      <c r="E19" s="13" t="s">
        <v>133</v>
      </c>
      <c r="F19" s="4" t="s">
        <v>133</v>
      </c>
      <c r="G19" s="17" t="s">
        <v>183</v>
      </c>
      <c r="H19" s="13" t="s">
        <v>135</v>
      </c>
      <c r="I19" t="s">
        <v>92</v>
      </c>
      <c r="J19" t="s">
        <v>178</v>
      </c>
    </row>
    <row r="20" spans="1:11" ht="13.2" customHeight="1" x14ac:dyDescent="0.25">
      <c r="A20" s="3" t="s">
        <v>184</v>
      </c>
      <c r="B20" s="4" t="s">
        <v>185</v>
      </c>
      <c r="C20" s="8" t="s">
        <v>186</v>
      </c>
      <c r="D20" s="4" t="s">
        <v>90</v>
      </c>
      <c r="E20" s="4" t="s">
        <v>133</v>
      </c>
      <c r="F20" s="4" t="s">
        <v>90</v>
      </c>
      <c r="G20" s="17" t="s">
        <v>134</v>
      </c>
      <c r="H20" s="13" t="s">
        <v>293</v>
      </c>
      <c r="I20" t="s">
        <v>102</v>
      </c>
      <c r="J20" t="s">
        <v>187</v>
      </c>
    </row>
    <row r="21" spans="1:11" ht="13.2" customHeight="1" x14ac:dyDescent="0.25">
      <c r="A21" s="25" t="s">
        <v>290</v>
      </c>
      <c r="B21" s="26" t="s">
        <v>291</v>
      </c>
      <c r="C21" s="8" t="s">
        <v>188</v>
      </c>
      <c r="D21" s="4" t="s">
        <v>90</v>
      </c>
      <c r="E21" s="13" t="s">
        <v>133</v>
      </c>
      <c r="F21" s="13" t="s">
        <v>133</v>
      </c>
      <c r="G21" s="17" t="s">
        <v>97</v>
      </c>
      <c r="H21" s="13" t="s">
        <v>135</v>
      </c>
      <c r="I21" t="s">
        <v>102</v>
      </c>
      <c r="J21" s="14" t="s">
        <v>196</v>
      </c>
      <c r="K21" s="13" t="s">
        <v>189</v>
      </c>
    </row>
    <row r="22" spans="1:11" ht="13.2" customHeight="1" x14ac:dyDescent="0.25">
      <c r="A22" s="3" t="s">
        <v>190</v>
      </c>
      <c r="B22" s="4" t="s">
        <v>301</v>
      </c>
      <c r="C22" s="8" t="s">
        <v>191</v>
      </c>
      <c r="D22" s="4" t="s">
        <v>90</v>
      </c>
      <c r="E22" s="4" t="s">
        <v>133</v>
      </c>
      <c r="F22" s="4" t="s">
        <v>133</v>
      </c>
      <c r="G22" s="17" t="s">
        <v>121</v>
      </c>
      <c r="H22" s="13" t="s">
        <v>135</v>
      </c>
      <c r="I22" t="s">
        <v>102</v>
      </c>
      <c r="J22" t="s">
        <v>192</v>
      </c>
    </row>
    <row r="23" spans="1:11" ht="13.2" customHeight="1" x14ac:dyDescent="0.25">
      <c r="A23" s="3" t="s">
        <v>193</v>
      </c>
      <c r="B23" s="4" t="s">
        <v>194</v>
      </c>
      <c r="C23" s="8" t="s">
        <v>195</v>
      </c>
      <c r="D23" s="4" t="s">
        <v>90</v>
      </c>
      <c r="E23" s="4" t="s">
        <v>133</v>
      </c>
      <c r="F23" s="4" t="s">
        <v>133</v>
      </c>
      <c r="G23" s="17" t="s">
        <v>134</v>
      </c>
      <c r="H23" s="13" t="s">
        <v>135</v>
      </c>
      <c r="I23" t="s">
        <v>102</v>
      </c>
      <c r="J23" t="s">
        <v>196</v>
      </c>
    </row>
    <row r="24" spans="1:11" ht="13.2" customHeight="1" x14ac:dyDescent="0.25">
      <c r="A24" s="3" t="s">
        <v>197</v>
      </c>
      <c r="B24" s="4" t="s">
        <v>198</v>
      </c>
      <c r="C24" s="8" t="s">
        <v>199</v>
      </c>
      <c r="D24" s="4" t="s">
        <v>90</v>
      </c>
      <c r="E24" s="4" t="s">
        <v>133</v>
      </c>
      <c r="F24" s="4" t="s">
        <v>133</v>
      </c>
      <c r="G24" s="17" t="s">
        <v>200</v>
      </c>
      <c r="H24" s="13" t="s">
        <v>135</v>
      </c>
      <c r="I24" t="s">
        <v>102</v>
      </c>
      <c r="J24" t="s">
        <v>201</v>
      </c>
    </row>
    <row r="25" spans="1:11" ht="13.2" customHeight="1" x14ac:dyDescent="0.25">
      <c r="A25" s="3" t="s">
        <v>295</v>
      </c>
      <c r="B25" s="4" t="s">
        <v>202</v>
      </c>
      <c r="C25" s="8" t="s">
        <v>203</v>
      </c>
      <c r="D25" s="4" t="s">
        <v>90</v>
      </c>
      <c r="E25" s="4" t="s">
        <v>133</v>
      </c>
      <c r="F25" s="4" t="s">
        <v>133</v>
      </c>
      <c r="G25" s="17" t="s">
        <v>204</v>
      </c>
      <c r="H25" s="13" t="s">
        <v>135</v>
      </c>
      <c r="I25" t="s">
        <v>102</v>
      </c>
      <c r="J25" t="s">
        <v>178</v>
      </c>
      <c r="K25" t="s">
        <v>205</v>
      </c>
    </row>
    <row r="26" spans="1:11" ht="13.2" customHeight="1" x14ac:dyDescent="0.25">
      <c r="A26" s="3" t="s">
        <v>206</v>
      </c>
      <c r="B26" s="4" t="s">
        <v>207</v>
      </c>
      <c r="C26" s="8" t="s">
        <v>281</v>
      </c>
      <c r="D26" s="4" t="s">
        <v>90</v>
      </c>
      <c r="E26" s="4" t="s">
        <v>133</v>
      </c>
      <c r="F26" s="4" t="s">
        <v>133</v>
      </c>
      <c r="G26" s="17" t="s">
        <v>208</v>
      </c>
      <c r="H26" s="13" t="s">
        <v>135</v>
      </c>
      <c r="I26" t="s">
        <v>209</v>
      </c>
      <c r="J26" t="s">
        <v>166</v>
      </c>
      <c r="K26" t="s">
        <v>210</v>
      </c>
    </row>
    <row r="27" spans="1:11" ht="13.2" customHeight="1" x14ac:dyDescent="0.25">
      <c r="A27" s="3"/>
      <c r="G27" s="5"/>
      <c r="K27" s="8"/>
    </row>
    <row r="28" spans="1:11" ht="13.2" customHeight="1" x14ac:dyDescent="0.25">
      <c r="G28" s="5"/>
    </row>
    <row r="29" spans="1:11" ht="13.2" customHeight="1" x14ac:dyDescent="0.25">
      <c r="A29" s="3"/>
      <c r="G29" s="5"/>
    </row>
    <row r="30" spans="1:11" ht="13.2" customHeight="1" x14ac:dyDescent="0.25">
      <c r="G30" s="5"/>
    </row>
    <row r="31" spans="1:11" ht="13.2" customHeight="1" x14ac:dyDescent="0.25">
      <c r="G31" s="5"/>
    </row>
    <row r="32" spans="1:11" ht="13.2" customHeight="1" x14ac:dyDescent="0.25">
      <c r="G32" s="5"/>
    </row>
    <row r="33" spans="7:7" ht="13.2" customHeight="1" x14ac:dyDescent="0.25">
      <c r="G33" s="5"/>
    </row>
    <row r="34" spans="7:7" ht="13.2" customHeight="1" x14ac:dyDescent="0.25">
      <c r="G34" s="5"/>
    </row>
    <row r="35" spans="7:7" ht="13.2" customHeight="1" x14ac:dyDescent="0.25">
      <c r="G35" s="5"/>
    </row>
    <row r="36" spans="7:7" ht="13.2" customHeight="1" x14ac:dyDescent="0.25">
      <c r="G36" s="5"/>
    </row>
    <row r="37" spans="7:7" ht="13.2" customHeight="1" x14ac:dyDescent="0.25">
      <c r="G37" s="5"/>
    </row>
    <row r="38" spans="7:7" ht="13.2" customHeight="1" x14ac:dyDescent="0.25">
      <c r="G38" s="5"/>
    </row>
    <row r="39" spans="7:7" ht="13.2" customHeight="1" x14ac:dyDescent="0.25">
      <c r="G39" s="5"/>
    </row>
    <row r="40" spans="7:7" ht="13.2" customHeight="1" x14ac:dyDescent="0.25">
      <c r="G40" s="5"/>
    </row>
    <row r="41" spans="7:7" ht="13.2" customHeight="1" x14ac:dyDescent="0.25">
      <c r="G41" s="5"/>
    </row>
    <row r="42" spans="7:7" ht="13.2" customHeight="1" x14ac:dyDescent="0.25">
      <c r="G42" s="5"/>
    </row>
    <row r="43" spans="7:7" ht="13.2" customHeight="1" x14ac:dyDescent="0.25">
      <c r="G43" s="5"/>
    </row>
    <row r="44" spans="7:7" ht="13.2" customHeight="1" x14ac:dyDescent="0.25">
      <c r="G44" s="5"/>
    </row>
    <row r="45" spans="7:7" ht="13.2" customHeight="1" x14ac:dyDescent="0.25">
      <c r="G45" s="5"/>
    </row>
    <row r="46" spans="7:7" ht="13.2" customHeight="1" x14ac:dyDescent="0.25">
      <c r="G46" s="5"/>
    </row>
    <row r="47" spans="7:7" ht="13.2" customHeight="1" x14ac:dyDescent="0.25">
      <c r="G47" s="5"/>
    </row>
    <row r="48" spans="7:7" ht="13.2" customHeight="1" x14ac:dyDescent="0.25">
      <c r="G48" s="5"/>
    </row>
    <row r="49" spans="7:7" ht="13.2" customHeight="1" x14ac:dyDescent="0.25">
      <c r="G49" s="5"/>
    </row>
    <row r="50" spans="7:7" ht="13.2" customHeight="1" x14ac:dyDescent="0.25">
      <c r="G50" s="5"/>
    </row>
    <row r="51" spans="7:7" ht="13.2" customHeight="1" x14ac:dyDescent="0.25">
      <c r="G51" s="5"/>
    </row>
    <row r="52" spans="7:7" ht="13.2" customHeight="1" x14ac:dyDescent="0.25">
      <c r="G52" s="5"/>
    </row>
    <row r="53" spans="7:7" ht="13.2" customHeight="1" x14ac:dyDescent="0.25">
      <c r="G53" s="5"/>
    </row>
    <row r="54" spans="7:7" ht="13.2" customHeight="1" x14ac:dyDescent="0.25">
      <c r="G54" s="5"/>
    </row>
    <row r="55" spans="7:7" ht="13.2" customHeight="1" x14ac:dyDescent="0.25">
      <c r="G55" s="5"/>
    </row>
    <row r="56" spans="7:7" ht="13.2" customHeight="1" x14ac:dyDescent="0.25">
      <c r="G56" s="5"/>
    </row>
    <row r="57" spans="7:7" ht="13.2" customHeight="1" x14ac:dyDescent="0.25">
      <c r="G57" s="5"/>
    </row>
    <row r="58" spans="7:7" ht="13.2" customHeight="1" x14ac:dyDescent="0.25">
      <c r="G58" s="5"/>
    </row>
    <row r="59" spans="7:7" ht="13.2" customHeight="1" x14ac:dyDescent="0.25">
      <c r="G59" s="5"/>
    </row>
    <row r="60" spans="7:7" ht="13.2" customHeight="1" x14ac:dyDescent="0.25">
      <c r="G60" s="5"/>
    </row>
    <row r="61" spans="7:7" ht="13.2" customHeight="1" x14ac:dyDescent="0.25">
      <c r="G61" s="5"/>
    </row>
    <row r="62" spans="7:7" ht="13.2" customHeight="1" x14ac:dyDescent="0.25">
      <c r="G62" s="5"/>
    </row>
    <row r="63" spans="7:7" ht="13.2" customHeight="1" x14ac:dyDescent="0.25">
      <c r="G63" s="5"/>
    </row>
    <row r="64" spans="7:7" ht="13.2" customHeight="1" x14ac:dyDescent="0.25">
      <c r="G64" s="5"/>
    </row>
    <row r="65" spans="7:7" ht="13.2" customHeight="1" x14ac:dyDescent="0.25">
      <c r="G65" s="5"/>
    </row>
    <row r="66" spans="7:7" ht="13.2" customHeight="1" x14ac:dyDescent="0.25">
      <c r="G66" s="5"/>
    </row>
    <row r="67" spans="7:7" ht="13.2" customHeight="1" x14ac:dyDescent="0.25">
      <c r="G67" s="5"/>
    </row>
    <row r="68" spans="7:7" ht="13.2" customHeight="1" x14ac:dyDescent="0.25">
      <c r="G68" s="5"/>
    </row>
    <row r="69" spans="7:7" ht="13.2" customHeight="1" x14ac:dyDescent="0.25">
      <c r="G69" s="5"/>
    </row>
    <row r="70" spans="7:7" ht="13.2" customHeight="1" x14ac:dyDescent="0.25">
      <c r="G70" s="5"/>
    </row>
    <row r="71" spans="7:7" ht="13.2" customHeight="1" x14ac:dyDescent="0.25">
      <c r="G71" s="5"/>
    </row>
    <row r="72" spans="7:7" ht="13.2" customHeight="1" x14ac:dyDescent="0.25">
      <c r="G72" s="5"/>
    </row>
    <row r="73" spans="7:7" ht="13.2" customHeight="1" x14ac:dyDescent="0.25">
      <c r="G73" s="5"/>
    </row>
    <row r="74" spans="7:7" ht="13.2" customHeight="1" x14ac:dyDescent="0.25">
      <c r="G74" s="5"/>
    </row>
    <row r="75" spans="7:7" ht="13.2" customHeight="1" x14ac:dyDescent="0.25">
      <c r="G75" s="5"/>
    </row>
    <row r="76" spans="7:7" ht="13.2" customHeight="1" x14ac:dyDescent="0.25">
      <c r="G76" s="5"/>
    </row>
    <row r="77" spans="7:7" ht="13.2" customHeight="1" x14ac:dyDescent="0.25">
      <c r="G77" s="5"/>
    </row>
    <row r="78" spans="7:7" ht="13.2" customHeight="1" x14ac:dyDescent="0.25">
      <c r="G78" s="5"/>
    </row>
    <row r="79" spans="7:7" ht="13.2" customHeight="1" x14ac:dyDescent="0.25">
      <c r="G79" s="5"/>
    </row>
    <row r="80" spans="7:7" ht="13.2" customHeight="1" x14ac:dyDescent="0.25">
      <c r="G80" s="5"/>
    </row>
    <row r="81" spans="7:7" ht="13.2" customHeight="1" x14ac:dyDescent="0.25">
      <c r="G81" s="5"/>
    </row>
    <row r="82" spans="7:7" ht="13.2" customHeight="1" x14ac:dyDescent="0.25">
      <c r="G82" s="5"/>
    </row>
    <row r="83" spans="7:7" ht="13.2" customHeight="1" x14ac:dyDescent="0.25">
      <c r="G83" s="5"/>
    </row>
    <row r="84" spans="7:7" ht="13.2" customHeight="1" x14ac:dyDescent="0.25">
      <c r="G84" s="5"/>
    </row>
    <row r="85" spans="7:7" ht="13.2" customHeight="1" x14ac:dyDescent="0.25">
      <c r="G85" s="5"/>
    </row>
    <row r="86" spans="7:7" ht="13.2" customHeight="1" x14ac:dyDescent="0.25">
      <c r="G86" s="5"/>
    </row>
    <row r="87" spans="7:7" ht="13.2" customHeight="1" x14ac:dyDescent="0.25">
      <c r="G87" s="5"/>
    </row>
    <row r="88" spans="7:7" ht="13.2" customHeight="1" x14ac:dyDescent="0.25">
      <c r="G88" s="5"/>
    </row>
    <row r="89" spans="7:7" ht="13.2" customHeight="1" x14ac:dyDescent="0.25">
      <c r="G89" s="5"/>
    </row>
    <row r="90" spans="7:7" ht="13.2" customHeight="1" x14ac:dyDescent="0.25">
      <c r="G90" s="5"/>
    </row>
    <row r="91" spans="7:7" ht="13.2" customHeight="1" x14ac:dyDescent="0.25">
      <c r="G91" s="5"/>
    </row>
    <row r="92" spans="7:7" ht="13.2" customHeight="1" x14ac:dyDescent="0.25">
      <c r="G92" s="5"/>
    </row>
    <row r="93" spans="7:7" ht="13.2" customHeight="1" x14ac:dyDescent="0.25">
      <c r="G93" s="5"/>
    </row>
    <row r="94" spans="7:7" ht="13.2" customHeight="1" x14ac:dyDescent="0.25">
      <c r="G94" s="5"/>
    </row>
    <row r="95" spans="7:7" ht="13.2" customHeight="1" x14ac:dyDescent="0.25">
      <c r="G95" s="5"/>
    </row>
    <row r="96" spans="7:7" ht="13.2" customHeight="1" x14ac:dyDescent="0.25">
      <c r="G96" s="5"/>
    </row>
    <row r="97" spans="7:7" ht="13.2" customHeight="1" x14ac:dyDescent="0.25">
      <c r="G97" s="5"/>
    </row>
    <row r="98" spans="7:7" ht="13.2" customHeight="1" x14ac:dyDescent="0.25">
      <c r="G98" s="5"/>
    </row>
    <row r="99" spans="7:7" ht="13.2" customHeight="1" x14ac:dyDescent="0.25">
      <c r="G99" s="5"/>
    </row>
    <row r="100" spans="7:7" ht="13.2" customHeight="1" x14ac:dyDescent="0.25">
      <c r="G100" s="5"/>
    </row>
    <row r="101" spans="7:7" ht="13.2" customHeight="1" x14ac:dyDescent="0.25">
      <c r="G101" s="5"/>
    </row>
    <row r="102" spans="7:7" ht="13.2" customHeight="1" x14ac:dyDescent="0.25">
      <c r="G102" s="5"/>
    </row>
    <row r="103" spans="7:7" ht="13.2" customHeight="1" x14ac:dyDescent="0.25">
      <c r="G103" s="5"/>
    </row>
    <row r="104" spans="7:7" ht="13.2" customHeight="1" x14ac:dyDescent="0.25">
      <c r="G104" s="5"/>
    </row>
    <row r="105" spans="7:7" ht="13.2" customHeight="1" x14ac:dyDescent="0.25">
      <c r="G105" s="5"/>
    </row>
    <row r="106" spans="7:7" ht="13.2" customHeight="1" x14ac:dyDescent="0.25">
      <c r="G106" s="5"/>
    </row>
    <row r="107" spans="7:7" ht="13.2" customHeight="1" x14ac:dyDescent="0.25">
      <c r="G107" s="5"/>
    </row>
    <row r="108" spans="7:7" ht="13.2" customHeight="1" x14ac:dyDescent="0.25">
      <c r="G108" s="5"/>
    </row>
    <row r="109" spans="7:7" ht="13.2" customHeight="1" x14ac:dyDescent="0.25">
      <c r="G109" s="5"/>
    </row>
    <row r="110" spans="7:7" ht="13.2" customHeight="1" x14ac:dyDescent="0.25">
      <c r="G110" s="5"/>
    </row>
    <row r="111" spans="7:7" ht="13.2" customHeight="1" x14ac:dyDescent="0.25">
      <c r="G111" s="5"/>
    </row>
    <row r="112" spans="7:7" ht="13.2" customHeight="1" x14ac:dyDescent="0.25">
      <c r="G112" s="5"/>
    </row>
    <row r="113" spans="7:7" ht="13.2" customHeight="1" x14ac:dyDescent="0.25">
      <c r="G113" s="5"/>
    </row>
    <row r="114" spans="7:7" ht="13.2" customHeight="1" x14ac:dyDescent="0.25">
      <c r="G114" s="5"/>
    </row>
    <row r="115" spans="7:7" ht="13.2" customHeight="1" x14ac:dyDescent="0.25">
      <c r="G115" s="5"/>
    </row>
    <row r="116" spans="7:7" ht="13.2" customHeight="1" x14ac:dyDescent="0.25">
      <c r="G116" s="5"/>
    </row>
    <row r="117" spans="7:7" ht="13.2" customHeight="1" x14ac:dyDescent="0.25">
      <c r="G117" s="5"/>
    </row>
    <row r="118" spans="7:7" ht="13.2" customHeight="1" x14ac:dyDescent="0.25">
      <c r="G118" s="5"/>
    </row>
    <row r="119" spans="7:7" ht="13.2" customHeight="1" x14ac:dyDescent="0.25">
      <c r="G119" s="5"/>
    </row>
    <row r="120" spans="7:7" ht="13.2" customHeight="1" x14ac:dyDescent="0.25">
      <c r="G120" s="5"/>
    </row>
    <row r="121" spans="7:7" ht="13.2" customHeight="1" x14ac:dyDescent="0.25">
      <c r="G121" s="5"/>
    </row>
    <row r="122" spans="7:7" ht="13.2" customHeight="1" x14ac:dyDescent="0.25">
      <c r="G122" s="5"/>
    </row>
    <row r="123" spans="7:7" ht="13.2" customHeight="1" x14ac:dyDescent="0.25">
      <c r="G123" s="5"/>
    </row>
    <row r="124" spans="7:7" ht="13.2" customHeight="1" x14ac:dyDescent="0.25">
      <c r="G124" s="5"/>
    </row>
    <row r="125" spans="7:7" ht="13.2" customHeight="1" x14ac:dyDescent="0.25">
      <c r="G125" s="5"/>
    </row>
    <row r="126" spans="7:7" ht="13.2" customHeight="1" x14ac:dyDescent="0.25">
      <c r="G126" s="5"/>
    </row>
    <row r="127" spans="7:7" ht="13.2" customHeight="1" x14ac:dyDescent="0.25">
      <c r="G127" s="5"/>
    </row>
    <row r="128" spans="7:7" ht="13.2" customHeight="1" x14ac:dyDescent="0.25">
      <c r="G128" s="5"/>
    </row>
    <row r="129" spans="7:7" ht="13.2" customHeight="1" x14ac:dyDescent="0.25">
      <c r="G129" s="5"/>
    </row>
    <row r="130" spans="7:7" ht="13.2" customHeight="1" x14ac:dyDescent="0.25">
      <c r="G130" s="5"/>
    </row>
    <row r="131" spans="7:7" ht="13.2" customHeight="1" x14ac:dyDescent="0.25">
      <c r="G131" s="5"/>
    </row>
    <row r="132" spans="7:7" ht="13.2" customHeight="1" x14ac:dyDescent="0.25">
      <c r="G132" s="5"/>
    </row>
    <row r="133" spans="7:7" ht="13.2" customHeight="1" x14ac:dyDescent="0.25">
      <c r="G133" s="5"/>
    </row>
    <row r="134" spans="7:7" ht="13.2" customHeight="1" x14ac:dyDescent="0.25">
      <c r="G134" s="5"/>
    </row>
    <row r="135" spans="7:7" ht="13.2" customHeight="1" x14ac:dyDescent="0.25">
      <c r="G135" s="5"/>
    </row>
    <row r="136" spans="7:7" ht="13.2" customHeight="1" x14ac:dyDescent="0.25">
      <c r="G136" s="5"/>
    </row>
    <row r="137" spans="7:7" ht="13.2" customHeight="1" x14ac:dyDescent="0.25">
      <c r="G137" s="5"/>
    </row>
    <row r="138" spans="7:7" ht="13.2" customHeight="1" x14ac:dyDescent="0.25">
      <c r="G138" s="5"/>
    </row>
    <row r="139" spans="7:7" ht="13.2" customHeight="1" x14ac:dyDescent="0.25">
      <c r="G139" s="5"/>
    </row>
    <row r="140" spans="7:7" ht="13.2" customHeight="1" x14ac:dyDescent="0.25">
      <c r="G140" s="5"/>
    </row>
    <row r="141" spans="7:7" ht="13.2" customHeight="1" x14ac:dyDescent="0.25">
      <c r="G141" s="5"/>
    </row>
    <row r="142" spans="7:7" ht="13.2" customHeight="1" x14ac:dyDescent="0.25">
      <c r="G142" s="5"/>
    </row>
    <row r="143" spans="7:7" ht="13.2" customHeight="1" x14ac:dyDescent="0.25">
      <c r="G143" s="5"/>
    </row>
    <row r="144" spans="7:7" ht="13.2" customHeight="1" x14ac:dyDescent="0.25">
      <c r="G144" s="5"/>
    </row>
    <row r="145" spans="7:7" ht="13.2" customHeight="1" x14ac:dyDescent="0.25">
      <c r="G145" s="5"/>
    </row>
    <row r="146" spans="7:7" ht="13.2" customHeight="1" x14ac:dyDescent="0.25">
      <c r="G146" s="5"/>
    </row>
    <row r="147" spans="7:7" ht="13.2" customHeight="1" x14ac:dyDescent="0.25">
      <c r="G147" s="5"/>
    </row>
    <row r="148" spans="7:7" ht="13.2" customHeight="1" x14ac:dyDescent="0.25">
      <c r="G148" s="5"/>
    </row>
    <row r="149" spans="7:7" ht="13.2" customHeight="1" x14ac:dyDescent="0.25">
      <c r="G149" s="5"/>
    </row>
    <row r="150" spans="7:7" ht="13.2" customHeight="1" x14ac:dyDescent="0.25">
      <c r="G150" s="5"/>
    </row>
    <row r="151" spans="7:7" ht="13.2" customHeight="1" x14ac:dyDescent="0.25">
      <c r="G151" s="5"/>
    </row>
    <row r="152" spans="7:7" ht="13.2" customHeight="1" x14ac:dyDescent="0.25">
      <c r="G152" s="5"/>
    </row>
    <row r="153" spans="7:7" ht="13.2" customHeight="1" x14ac:dyDescent="0.25">
      <c r="G153" s="5"/>
    </row>
    <row r="154" spans="7:7" ht="13.2" customHeight="1" x14ac:dyDescent="0.25">
      <c r="G154" s="5"/>
    </row>
    <row r="155" spans="7:7" ht="13.2" customHeight="1" x14ac:dyDescent="0.25">
      <c r="G155" s="5"/>
    </row>
    <row r="156" spans="7:7" ht="13.2" customHeight="1" x14ac:dyDescent="0.25">
      <c r="G156" s="5"/>
    </row>
    <row r="157" spans="7:7" ht="13.2" customHeight="1" x14ac:dyDescent="0.25">
      <c r="G157" s="5"/>
    </row>
    <row r="158" spans="7:7" ht="13.2" customHeight="1" x14ac:dyDescent="0.25">
      <c r="G158" s="5"/>
    </row>
    <row r="159" spans="7:7" ht="13.2" customHeight="1" x14ac:dyDescent="0.25">
      <c r="G159" s="5"/>
    </row>
    <row r="160" spans="7:7" ht="13.2" customHeight="1" x14ac:dyDescent="0.25">
      <c r="G160" s="5"/>
    </row>
    <row r="161" spans="7:7" ht="13.2" customHeight="1" x14ac:dyDescent="0.25">
      <c r="G161" s="5"/>
    </row>
    <row r="162" spans="7:7" ht="13.2" customHeight="1" x14ac:dyDescent="0.25">
      <c r="G162" s="5"/>
    </row>
    <row r="163" spans="7:7" ht="13.2" customHeight="1" x14ac:dyDescent="0.25">
      <c r="G163" s="5"/>
    </row>
    <row r="164" spans="7:7" ht="13.2" customHeight="1" x14ac:dyDescent="0.25">
      <c r="G164" s="5"/>
    </row>
    <row r="165" spans="7:7" ht="13.2" customHeight="1" x14ac:dyDescent="0.25">
      <c r="G165" s="5"/>
    </row>
    <row r="166" spans="7:7" ht="13.2" customHeight="1" x14ac:dyDescent="0.25">
      <c r="G166" s="5"/>
    </row>
    <row r="167" spans="7:7" ht="13.2" customHeight="1" x14ac:dyDescent="0.25">
      <c r="G167" s="5"/>
    </row>
    <row r="168" spans="7:7" ht="13.2" customHeight="1" x14ac:dyDescent="0.25">
      <c r="G168" s="5"/>
    </row>
    <row r="169" spans="7:7" ht="13.2" customHeight="1" x14ac:dyDescent="0.25">
      <c r="G169" s="5"/>
    </row>
    <row r="170" spans="7:7" ht="13.2" customHeight="1" x14ac:dyDescent="0.25">
      <c r="G170" s="5"/>
    </row>
    <row r="171" spans="7:7" ht="13.2" customHeight="1" x14ac:dyDescent="0.25">
      <c r="G171" s="5"/>
    </row>
    <row r="172" spans="7:7" ht="13.2" customHeight="1" x14ac:dyDescent="0.25">
      <c r="G172" s="5"/>
    </row>
    <row r="173" spans="7:7" ht="13.2" customHeight="1" x14ac:dyDescent="0.25">
      <c r="G173" s="5"/>
    </row>
    <row r="174" spans="7:7" ht="13.2" customHeight="1" x14ac:dyDescent="0.25">
      <c r="G174" s="5"/>
    </row>
    <row r="175" spans="7:7" ht="13.2" customHeight="1" x14ac:dyDescent="0.25">
      <c r="G175" s="5"/>
    </row>
    <row r="176" spans="7:7" ht="13.2" customHeight="1" x14ac:dyDescent="0.25">
      <c r="G176" s="5"/>
    </row>
    <row r="177" spans="7:7" ht="13.2" customHeight="1" x14ac:dyDescent="0.25">
      <c r="G177" s="5"/>
    </row>
    <row r="178" spans="7:7" ht="13.2" customHeight="1" x14ac:dyDescent="0.25">
      <c r="G178" s="5"/>
    </row>
    <row r="179" spans="7:7" ht="13.2" customHeight="1" x14ac:dyDescent="0.25">
      <c r="G179" s="5"/>
    </row>
    <row r="180" spans="7:7" ht="13.2" customHeight="1" x14ac:dyDescent="0.25">
      <c r="G180" s="5"/>
    </row>
    <row r="181" spans="7:7" ht="13.2" customHeight="1" x14ac:dyDescent="0.25">
      <c r="G181" s="5"/>
    </row>
    <row r="182" spans="7:7" ht="13.2" customHeight="1" x14ac:dyDescent="0.25">
      <c r="G182" s="5"/>
    </row>
    <row r="183" spans="7:7" ht="13.2" customHeight="1" x14ac:dyDescent="0.25">
      <c r="G183" s="5"/>
    </row>
    <row r="184" spans="7:7" ht="13.2" customHeight="1" x14ac:dyDescent="0.25">
      <c r="G184" s="5"/>
    </row>
    <row r="185" spans="7:7" ht="13.2" customHeight="1" x14ac:dyDescent="0.25">
      <c r="G185" s="5"/>
    </row>
    <row r="186" spans="7:7" ht="13.2" customHeight="1" x14ac:dyDescent="0.25">
      <c r="G186" s="5"/>
    </row>
    <row r="187" spans="7:7" ht="13.2" customHeight="1" x14ac:dyDescent="0.25">
      <c r="G187" s="5"/>
    </row>
    <row r="188" spans="7:7" ht="13.2" customHeight="1" x14ac:dyDescent="0.25">
      <c r="G188" s="5"/>
    </row>
    <row r="189" spans="7:7" ht="13.2" customHeight="1" x14ac:dyDescent="0.25">
      <c r="G189" s="5"/>
    </row>
    <row r="190" spans="7:7" ht="13.2" customHeight="1" x14ac:dyDescent="0.25">
      <c r="G190" s="5"/>
    </row>
    <row r="191" spans="7:7" ht="13.2" customHeight="1" x14ac:dyDescent="0.25">
      <c r="G191" s="5"/>
    </row>
    <row r="192" spans="7:7" ht="13.2" customHeight="1" x14ac:dyDescent="0.25">
      <c r="G192" s="5"/>
    </row>
    <row r="193" spans="7:7" ht="13.2" customHeight="1" x14ac:dyDescent="0.25">
      <c r="G193" s="5"/>
    </row>
    <row r="194" spans="7:7" ht="13.2" customHeight="1" x14ac:dyDescent="0.25">
      <c r="G194" s="5"/>
    </row>
    <row r="195" spans="7:7" ht="13.2" customHeight="1" x14ac:dyDescent="0.25">
      <c r="G195" s="5"/>
    </row>
    <row r="196" spans="7:7" ht="13.2" customHeight="1" x14ac:dyDescent="0.25">
      <c r="G196" s="5"/>
    </row>
    <row r="197" spans="7:7" ht="13.2" customHeight="1" x14ac:dyDescent="0.25">
      <c r="G197" s="5"/>
    </row>
    <row r="198" spans="7:7" ht="13.2" customHeight="1" x14ac:dyDescent="0.25">
      <c r="G198" s="5"/>
    </row>
    <row r="199" spans="7:7" ht="13.2" customHeight="1" x14ac:dyDescent="0.25">
      <c r="G199" s="5"/>
    </row>
    <row r="200" spans="7:7" ht="13.2" customHeight="1" x14ac:dyDescent="0.25">
      <c r="G200" s="5"/>
    </row>
    <row r="201" spans="7:7" ht="13.2" customHeight="1" x14ac:dyDescent="0.25">
      <c r="G201" s="5"/>
    </row>
    <row r="202" spans="7:7" ht="13.2" customHeight="1" x14ac:dyDescent="0.25">
      <c r="G202" s="5"/>
    </row>
    <row r="203" spans="7:7" ht="13.2" customHeight="1" x14ac:dyDescent="0.25">
      <c r="G203" s="5"/>
    </row>
    <row r="204" spans="7:7" ht="13.2" customHeight="1" x14ac:dyDescent="0.25">
      <c r="G204" s="5"/>
    </row>
    <row r="205" spans="7:7" ht="13.2" customHeight="1" x14ac:dyDescent="0.25">
      <c r="G205" s="5"/>
    </row>
    <row r="206" spans="7:7" ht="13.2" customHeight="1" x14ac:dyDescent="0.25">
      <c r="G206" s="5"/>
    </row>
    <row r="207" spans="7:7" ht="13.2" customHeight="1" x14ac:dyDescent="0.25">
      <c r="G207" s="5"/>
    </row>
    <row r="208" spans="7:7" ht="13.2" customHeight="1" x14ac:dyDescent="0.25">
      <c r="G208" s="5"/>
    </row>
    <row r="209" spans="7:7" ht="13.2" customHeight="1" x14ac:dyDescent="0.25">
      <c r="G209" s="5"/>
    </row>
    <row r="210" spans="7:7" ht="13.2" customHeight="1" x14ac:dyDescent="0.25">
      <c r="G210" s="5"/>
    </row>
    <row r="211" spans="7:7" ht="13.2" customHeight="1" x14ac:dyDescent="0.25">
      <c r="G211" s="5"/>
    </row>
    <row r="212" spans="7:7" ht="13.2" customHeight="1" x14ac:dyDescent="0.25">
      <c r="G212" s="5"/>
    </row>
    <row r="213" spans="7:7" ht="13.2" customHeight="1" x14ac:dyDescent="0.25">
      <c r="G213" s="5"/>
    </row>
    <row r="214" spans="7:7" ht="13.2" customHeight="1" x14ac:dyDescent="0.25">
      <c r="G214" s="5"/>
    </row>
    <row r="215" spans="7:7" ht="13.2" customHeight="1" x14ac:dyDescent="0.25">
      <c r="G215" s="5"/>
    </row>
    <row r="216" spans="7:7" ht="13.2" customHeight="1" x14ac:dyDescent="0.25">
      <c r="G216" s="5"/>
    </row>
    <row r="217" spans="7:7" ht="13.2" customHeight="1" x14ac:dyDescent="0.25">
      <c r="G217" s="5"/>
    </row>
    <row r="218" spans="7:7" ht="13.2" customHeight="1" x14ac:dyDescent="0.25">
      <c r="G218" s="5"/>
    </row>
    <row r="219" spans="7:7" ht="13.2" customHeight="1" x14ac:dyDescent="0.25">
      <c r="G219" s="5"/>
    </row>
    <row r="220" spans="7:7" ht="13.2" customHeight="1" x14ac:dyDescent="0.25">
      <c r="G220" s="5"/>
    </row>
    <row r="221" spans="7:7" ht="13.2" customHeight="1" x14ac:dyDescent="0.25">
      <c r="G221" s="5"/>
    </row>
    <row r="222" spans="7:7" ht="13.2" customHeight="1" x14ac:dyDescent="0.25">
      <c r="G222" s="5"/>
    </row>
    <row r="223" spans="7:7" ht="13.2" customHeight="1" x14ac:dyDescent="0.25">
      <c r="G223" s="5"/>
    </row>
    <row r="224" spans="7:7" ht="13.2" customHeight="1" x14ac:dyDescent="0.25">
      <c r="G224" s="5"/>
    </row>
    <row r="225" spans="7:7" ht="13.2" customHeight="1" x14ac:dyDescent="0.25">
      <c r="G225" s="5"/>
    </row>
    <row r="226" spans="7:7" ht="13.2" customHeight="1" x14ac:dyDescent="0.25">
      <c r="G226" s="5"/>
    </row>
    <row r="227" spans="7:7" ht="13.2" customHeight="1" x14ac:dyDescent="0.25">
      <c r="G227" s="5"/>
    </row>
    <row r="228" spans="7:7" ht="13.2" customHeight="1" x14ac:dyDescent="0.25">
      <c r="G228" s="5"/>
    </row>
    <row r="229" spans="7:7" ht="13.2" customHeight="1" x14ac:dyDescent="0.25">
      <c r="G229" s="5"/>
    </row>
    <row r="230" spans="7:7" ht="13.2" customHeight="1" x14ac:dyDescent="0.25">
      <c r="G230" s="5"/>
    </row>
    <row r="231" spans="7:7" ht="13.2" customHeight="1" x14ac:dyDescent="0.25">
      <c r="G231" s="5"/>
    </row>
    <row r="232" spans="7:7" ht="13.2" customHeight="1" x14ac:dyDescent="0.25">
      <c r="G232" s="5"/>
    </row>
    <row r="233" spans="7:7" ht="13.2" customHeight="1" x14ac:dyDescent="0.25">
      <c r="G233" s="5"/>
    </row>
    <row r="234" spans="7:7" ht="13.2" customHeight="1" x14ac:dyDescent="0.25">
      <c r="G234" s="5"/>
    </row>
    <row r="235" spans="7:7" ht="13.2" customHeight="1" x14ac:dyDescent="0.25">
      <c r="G235" s="5"/>
    </row>
    <row r="236" spans="7:7" ht="13.2" customHeight="1" x14ac:dyDescent="0.25">
      <c r="G236" s="5"/>
    </row>
    <row r="237" spans="7:7" ht="13.2" customHeight="1" x14ac:dyDescent="0.25">
      <c r="G237" s="5"/>
    </row>
    <row r="238" spans="7:7" ht="13.2" customHeight="1" x14ac:dyDescent="0.25">
      <c r="G238" s="5"/>
    </row>
    <row r="239" spans="7:7" ht="13.2" customHeight="1" x14ac:dyDescent="0.25">
      <c r="G239" s="5"/>
    </row>
    <row r="240" spans="7:7" ht="13.2" customHeight="1" x14ac:dyDescent="0.25">
      <c r="G240" s="5"/>
    </row>
    <row r="241" spans="7:7" ht="13.2" customHeight="1" x14ac:dyDescent="0.25">
      <c r="G241" s="5"/>
    </row>
    <row r="242" spans="7:7" ht="13.2" customHeight="1" x14ac:dyDescent="0.25">
      <c r="G242" s="5"/>
    </row>
    <row r="243" spans="7:7" ht="13.2" customHeight="1" x14ac:dyDescent="0.25">
      <c r="G243" s="5"/>
    </row>
    <row r="244" spans="7:7" ht="13.2" customHeight="1" x14ac:dyDescent="0.25">
      <c r="G244" s="5"/>
    </row>
    <row r="245" spans="7:7" ht="13.2" customHeight="1" x14ac:dyDescent="0.25">
      <c r="G245" s="5"/>
    </row>
    <row r="246" spans="7:7" ht="13.2" customHeight="1" x14ac:dyDescent="0.25">
      <c r="G246" s="5"/>
    </row>
    <row r="247" spans="7:7" ht="13.2" customHeight="1" x14ac:dyDescent="0.25">
      <c r="G247" s="5"/>
    </row>
    <row r="248" spans="7:7" ht="13.2" customHeight="1" x14ac:dyDescent="0.25">
      <c r="G248" s="5"/>
    </row>
    <row r="249" spans="7:7" ht="13.2" customHeight="1" x14ac:dyDescent="0.25">
      <c r="G249" s="5"/>
    </row>
    <row r="250" spans="7:7" ht="13.2" customHeight="1" x14ac:dyDescent="0.25">
      <c r="G250" s="5"/>
    </row>
    <row r="251" spans="7:7" ht="13.2" customHeight="1" x14ac:dyDescent="0.25">
      <c r="G251" s="5"/>
    </row>
    <row r="252" spans="7:7" ht="13.2" customHeight="1" x14ac:dyDescent="0.25">
      <c r="G252" s="5"/>
    </row>
    <row r="253" spans="7:7" ht="13.2" customHeight="1" x14ac:dyDescent="0.25">
      <c r="G253" s="5"/>
    </row>
    <row r="254" spans="7:7" ht="13.2" customHeight="1" x14ac:dyDescent="0.25">
      <c r="G254" s="5"/>
    </row>
    <row r="255" spans="7:7" ht="13.2" customHeight="1" x14ac:dyDescent="0.25">
      <c r="G255" s="5"/>
    </row>
    <row r="256" spans="7:7" ht="13.2" customHeight="1" x14ac:dyDescent="0.25">
      <c r="G256" s="5"/>
    </row>
    <row r="257" spans="7:7" ht="13.2" customHeight="1" x14ac:dyDescent="0.25">
      <c r="G257" s="5"/>
    </row>
    <row r="258" spans="7:7" ht="13.2" customHeight="1" x14ac:dyDescent="0.25">
      <c r="G258" s="5"/>
    </row>
    <row r="259" spans="7:7" ht="13.2" customHeight="1" x14ac:dyDescent="0.25">
      <c r="G259" s="5"/>
    </row>
    <row r="260" spans="7:7" ht="13.2" customHeight="1" x14ac:dyDescent="0.25">
      <c r="G260" s="5"/>
    </row>
    <row r="261" spans="7:7" ht="13.2" customHeight="1" x14ac:dyDescent="0.25">
      <c r="G261" s="5"/>
    </row>
    <row r="262" spans="7:7" ht="13.2" customHeight="1" x14ac:dyDescent="0.25">
      <c r="G262" s="5"/>
    </row>
    <row r="263" spans="7:7" ht="13.2" customHeight="1" x14ac:dyDescent="0.25">
      <c r="G263" s="5"/>
    </row>
    <row r="264" spans="7:7" ht="13.2" customHeight="1" x14ac:dyDescent="0.25">
      <c r="G264" s="5"/>
    </row>
    <row r="265" spans="7:7" ht="13.2" customHeight="1" x14ac:dyDescent="0.25">
      <c r="G265" s="5"/>
    </row>
    <row r="266" spans="7:7" ht="13.2" customHeight="1" x14ac:dyDescent="0.25">
      <c r="G266" s="5"/>
    </row>
    <row r="267" spans="7:7" ht="13.2" customHeight="1" x14ac:dyDescent="0.25">
      <c r="G267" s="5"/>
    </row>
    <row r="268" spans="7:7" ht="13.2" customHeight="1" x14ac:dyDescent="0.25">
      <c r="G268" s="5"/>
    </row>
    <row r="269" spans="7:7" ht="13.2" customHeight="1" x14ac:dyDescent="0.25">
      <c r="G269" s="5"/>
    </row>
    <row r="270" spans="7:7" ht="13.2" customHeight="1" x14ac:dyDescent="0.25">
      <c r="G270" s="5"/>
    </row>
    <row r="271" spans="7:7" ht="13.2" customHeight="1" x14ac:dyDescent="0.25">
      <c r="G271" s="5"/>
    </row>
    <row r="272" spans="7:7" ht="13.2" customHeight="1" x14ac:dyDescent="0.25">
      <c r="G272" s="5"/>
    </row>
    <row r="273" spans="7:7" ht="13.2" customHeight="1" x14ac:dyDescent="0.25">
      <c r="G273" s="5"/>
    </row>
    <row r="274" spans="7:7" ht="13.2" customHeight="1" x14ac:dyDescent="0.25">
      <c r="G274" s="5"/>
    </row>
    <row r="275" spans="7:7" ht="13.2" customHeight="1" x14ac:dyDescent="0.25">
      <c r="G275" s="5"/>
    </row>
    <row r="276" spans="7:7" ht="13.2" customHeight="1" x14ac:dyDescent="0.25">
      <c r="G276" s="5"/>
    </row>
    <row r="277" spans="7:7" ht="13.2" customHeight="1" x14ac:dyDescent="0.25">
      <c r="G277" s="5"/>
    </row>
    <row r="278" spans="7:7" ht="13.2" customHeight="1" x14ac:dyDescent="0.25">
      <c r="G278" s="5"/>
    </row>
    <row r="279" spans="7:7" ht="13.2" customHeight="1" x14ac:dyDescent="0.25">
      <c r="G279" s="5"/>
    </row>
    <row r="280" spans="7:7" ht="13.2" customHeight="1" x14ac:dyDescent="0.25">
      <c r="G280" s="5"/>
    </row>
    <row r="281" spans="7:7" ht="13.2" customHeight="1" x14ac:dyDescent="0.25">
      <c r="G281" s="5"/>
    </row>
    <row r="282" spans="7:7" ht="13.2" customHeight="1" x14ac:dyDescent="0.25">
      <c r="G282" s="5"/>
    </row>
    <row r="283" spans="7:7" ht="13.2" customHeight="1" x14ac:dyDescent="0.25">
      <c r="G283" s="5"/>
    </row>
    <row r="284" spans="7:7" ht="13.2" customHeight="1" x14ac:dyDescent="0.25">
      <c r="G284" s="5"/>
    </row>
    <row r="285" spans="7:7" ht="13.2" customHeight="1" x14ac:dyDescent="0.25">
      <c r="G285" s="5"/>
    </row>
    <row r="286" spans="7:7" ht="13.2" customHeight="1" x14ac:dyDescent="0.25">
      <c r="G286" s="5"/>
    </row>
    <row r="287" spans="7:7" ht="13.2" customHeight="1" x14ac:dyDescent="0.25">
      <c r="G287" s="5"/>
    </row>
    <row r="288" spans="7:7" ht="13.2" customHeight="1" x14ac:dyDescent="0.25">
      <c r="G288" s="5"/>
    </row>
    <row r="289" spans="7:7" ht="13.2" customHeight="1" x14ac:dyDescent="0.25">
      <c r="G289" s="5"/>
    </row>
    <row r="290" spans="7:7" ht="13.2" customHeight="1" x14ac:dyDescent="0.25">
      <c r="G290" s="5"/>
    </row>
    <row r="291" spans="7:7" ht="13.2" customHeight="1" x14ac:dyDescent="0.25">
      <c r="G291" s="5"/>
    </row>
    <row r="292" spans="7:7" ht="13.2" customHeight="1" x14ac:dyDescent="0.25">
      <c r="G292" s="5"/>
    </row>
    <row r="293" spans="7:7" ht="13.2" customHeight="1" x14ac:dyDescent="0.25">
      <c r="G293" s="5"/>
    </row>
    <row r="294" spans="7:7" ht="13.2" customHeight="1" x14ac:dyDescent="0.25">
      <c r="G294" s="5"/>
    </row>
    <row r="295" spans="7:7" ht="13.2" customHeight="1" x14ac:dyDescent="0.25">
      <c r="G295" s="5"/>
    </row>
    <row r="296" spans="7:7" ht="13.2" customHeight="1" x14ac:dyDescent="0.25">
      <c r="G296" s="5"/>
    </row>
    <row r="297" spans="7:7" ht="13.2" customHeight="1" x14ac:dyDescent="0.25">
      <c r="G297" s="5"/>
    </row>
    <row r="298" spans="7:7" ht="13.2" customHeight="1" x14ac:dyDescent="0.25">
      <c r="G298" s="5"/>
    </row>
    <row r="299" spans="7:7" ht="13.2" customHeight="1" x14ac:dyDescent="0.25">
      <c r="G299" s="5"/>
    </row>
    <row r="300" spans="7:7" ht="13.2" customHeight="1" x14ac:dyDescent="0.25">
      <c r="G300" s="5"/>
    </row>
    <row r="301" spans="7:7" ht="13.2" customHeight="1" x14ac:dyDescent="0.25">
      <c r="G301" s="5"/>
    </row>
    <row r="302" spans="7:7" ht="13.2" customHeight="1" x14ac:dyDescent="0.25">
      <c r="G302" s="5"/>
    </row>
    <row r="303" spans="7:7" ht="13.2" customHeight="1" x14ac:dyDescent="0.25">
      <c r="G303" s="5"/>
    </row>
    <row r="304" spans="7:7" ht="13.2" customHeight="1" x14ac:dyDescent="0.25">
      <c r="G304" s="5"/>
    </row>
    <row r="305" spans="7:7" ht="13.2" customHeight="1" x14ac:dyDescent="0.25">
      <c r="G305" s="5"/>
    </row>
    <row r="306" spans="7:7" ht="13.2" customHeight="1" x14ac:dyDescent="0.25">
      <c r="G306" s="5"/>
    </row>
    <row r="307" spans="7:7" ht="13.2" customHeight="1" x14ac:dyDescent="0.25">
      <c r="G307" s="5"/>
    </row>
    <row r="308" spans="7:7" ht="13.2" customHeight="1" x14ac:dyDescent="0.25">
      <c r="G308" s="5"/>
    </row>
    <row r="309" spans="7:7" ht="13.2" customHeight="1" x14ac:dyDescent="0.25">
      <c r="G309" s="5"/>
    </row>
    <row r="310" spans="7:7" ht="13.2" customHeight="1" x14ac:dyDescent="0.25">
      <c r="G310" s="5"/>
    </row>
    <row r="311" spans="7:7" ht="13.2" customHeight="1" x14ac:dyDescent="0.25">
      <c r="G311" s="5"/>
    </row>
    <row r="312" spans="7:7" ht="13.2" customHeight="1" x14ac:dyDescent="0.25">
      <c r="G312" s="5"/>
    </row>
    <row r="313" spans="7:7" ht="13.2" customHeight="1" x14ac:dyDescent="0.25">
      <c r="G313" s="5"/>
    </row>
    <row r="314" spans="7:7" ht="13.2" customHeight="1" x14ac:dyDescent="0.25">
      <c r="G314" s="5"/>
    </row>
    <row r="315" spans="7:7" ht="13.2" customHeight="1" x14ac:dyDescent="0.25">
      <c r="G315" s="5"/>
    </row>
    <row r="316" spans="7:7" ht="13.2" customHeight="1" x14ac:dyDescent="0.25">
      <c r="G316" s="5"/>
    </row>
    <row r="317" spans="7:7" ht="13.2" customHeight="1" x14ac:dyDescent="0.25">
      <c r="G317" s="5"/>
    </row>
    <row r="318" spans="7:7" ht="13.2" customHeight="1" x14ac:dyDescent="0.25">
      <c r="G318" s="5"/>
    </row>
    <row r="319" spans="7:7" ht="13.2" customHeight="1" x14ac:dyDescent="0.25">
      <c r="G319" s="5"/>
    </row>
    <row r="320" spans="7:7" ht="13.2" customHeight="1" x14ac:dyDescent="0.25">
      <c r="G320" s="5"/>
    </row>
    <row r="321" spans="7:7" ht="13.2" customHeight="1" x14ac:dyDescent="0.25">
      <c r="G321" s="5"/>
    </row>
    <row r="322" spans="7:7" ht="13.2" customHeight="1" x14ac:dyDescent="0.25">
      <c r="G322" s="5"/>
    </row>
    <row r="323" spans="7:7" ht="13.2" customHeight="1" x14ac:dyDescent="0.25">
      <c r="G323" s="5"/>
    </row>
    <row r="324" spans="7:7" ht="13.2" customHeight="1" x14ac:dyDescent="0.25">
      <c r="G324" s="5"/>
    </row>
    <row r="325" spans="7:7" ht="13.2" customHeight="1" x14ac:dyDescent="0.25">
      <c r="G325" s="5"/>
    </row>
    <row r="326" spans="7:7" ht="13.2" customHeight="1" x14ac:dyDescent="0.25">
      <c r="G326" s="5"/>
    </row>
    <row r="327" spans="7:7" ht="13.2" customHeight="1" x14ac:dyDescent="0.25">
      <c r="G327" s="5"/>
    </row>
    <row r="328" spans="7:7" ht="13.2" customHeight="1" x14ac:dyDescent="0.25">
      <c r="G328" s="5"/>
    </row>
    <row r="329" spans="7:7" ht="13.2" customHeight="1" x14ac:dyDescent="0.25">
      <c r="G329" s="5"/>
    </row>
    <row r="330" spans="7:7" ht="13.2" customHeight="1" x14ac:dyDescent="0.25">
      <c r="G330" s="5"/>
    </row>
    <row r="331" spans="7:7" ht="13.2" customHeight="1" x14ac:dyDescent="0.25">
      <c r="G331" s="5"/>
    </row>
    <row r="332" spans="7:7" ht="13.2" customHeight="1" x14ac:dyDescent="0.25">
      <c r="G332" s="5"/>
    </row>
    <row r="333" spans="7:7" ht="13.2" customHeight="1" x14ac:dyDescent="0.25">
      <c r="G333" s="5"/>
    </row>
    <row r="334" spans="7:7" ht="13.2" customHeight="1" x14ac:dyDescent="0.25">
      <c r="G334" s="5"/>
    </row>
    <row r="335" spans="7:7" ht="13.2" customHeight="1" x14ac:dyDescent="0.25">
      <c r="G335" s="5"/>
    </row>
    <row r="336" spans="7:7" ht="13.2" customHeight="1" x14ac:dyDescent="0.25">
      <c r="G336" s="5"/>
    </row>
    <row r="337" spans="7:7" ht="13.2" customHeight="1" x14ac:dyDescent="0.25">
      <c r="G337" s="5"/>
    </row>
    <row r="338" spans="7:7" ht="13.2" customHeight="1" x14ac:dyDescent="0.25">
      <c r="G338" s="5"/>
    </row>
    <row r="339" spans="7:7" ht="13.2" customHeight="1" x14ac:dyDescent="0.25">
      <c r="G339" s="5"/>
    </row>
    <row r="340" spans="7:7" ht="13.2" customHeight="1" x14ac:dyDescent="0.25">
      <c r="G340" s="5"/>
    </row>
    <row r="341" spans="7:7" ht="13.2" customHeight="1" x14ac:dyDescent="0.25">
      <c r="G341" s="5"/>
    </row>
    <row r="342" spans="7:7" ht="13.2" customHeight="1" x14ac:dyDescent="0.25">
      <c r="G342" s="5"/>
    </row>
    <row r="343" spans="7:7" ht="13.2" customHeight="1" x14ac:dyDescent="0.25">
      <c r="G343" s="5"/>
    </row>
    <row r="344" spans="7:7" ht="13.2" customHeight="1" x14ac:dyDescent="0.25">
      <c r="G344" s="5"/>
    </row>
    <row r="345" spans="7:7" ht="13.2" customHeight="1" x14ac:dyDescent="0.25">
      <c r="G345" s="5"/>
    </row>
    <row r="346" spans="7:7" ht="13.2" customHeight="1" x14ac:dyDescent="0.25">
      <c r="G346" s="5"/>
    </row>
    <row r="347" spans="7:7" ht="13.2" customHeight="1" x14ac:dyDescent="0.25">
      <c r="G347" s="5"/>
    </row>
    <row r="348" spans="7:7" ht="13.2" customHeight="1" x14ac:dyDescent="0.25">
      <c r="G348" s="5"/>
    </row>
    <row r="349" spans="7:7" ht="13.2" customHeight="1" x14ac:dyDescent="0.25">
      <c r="G349" s="5"/>
    </row>
    <row r="350" spans="7:7" ht="13.2" customHeight="1" x14ac:dyDescent="0.25">
      <c r="G350" s="5"/>
    </row>
    <row r="351" spans="7:7" ht="13.2" customHeight="1" x14ac:dyDescent="0.25">
      <c r="G351" s="5"/>
    </row>
    <row r="352" spans="7:7" ht="13.2" customHeight="1" x14ac:dyDescent="0.25">
      <c r="G352" s="5"/>
    </row>
    <row r="353" spans="7:7" ht="13.2" customHeight="1" x14ac:dyDescent="0.25">
      <c r="G353" s="5"/>
    </row>
    <row r="354" spans="7:7" ht="13.2" customHeight="1" x14ac:dyDescent="0.25">
      <c r="G354" s="5"/>
    </row>
    <row r="355" spans="7:7" ht="13.2" customHeight="1" x14ac:dyDescent="0.25">
      <c r="G355" s="5"/>
    </row>
    <row r="356" spans="7:7" ht="13.2" customHeight="1" x14ac:dyDescent="0.25">
      <c r="G356" s="5"/>
    </row>
    <row r="357" spans="7:7" ht="13.2" customHeight="1" x14ac:dyDescent="0.25">
      <c r="G357" s="5"/>
    </row>
    <row r="358" spans="7:7" ht="13.2" customHeight="1" x14ac:dyDescent="0.25">
      <c r="G358" s="5"/>
    </row>
    <row r="359" spans="7:7" ht="13.2" customHeight="1" x14ac:dyDescent="0.25">
      <c r="G359" s="5"/>
    </row>
    <row r="360" spans="7:7" ht="13.2" customHeight="1" x14ac:dyDescent="0.25">
      <c r="G360" s="5"/>
    </row>
    <row r="361" spans="7:7" ht="13.2" customHeight="1" x14ac:dyDescent="0.25">
      <c r="G361" s="5"/>
    </row>
    <row r="362" spans="7:7" ht="13.2" customHeight="1" x14ac:dyDescent="0.25">
      <c r="G362" s="5"/>
    </row>
    <row r="363" spans="7:7" ht="13.2" customHeight="1" x14ac:dyDescent="0.25">
      <c r="G363" s="5"/>
    </row>
    <row r="364" spans="7:7" ht="13.2" customHeight="1" x14ac:dyDescent="0.25">
      <c r="G364" s="5"/>
    </row>
    <row r="365" spans="7:7" ht="13.2" customHeight="1" x14ac:dyDescent="0.25">
      <c r="G365" s="5"/>
    </row>
    <row r="366" spans="7:7" ht="13.2" customHeight="1" x14ac:dyDescent="0.25">
      <c r="G366" s="5"/>
    </row>
    <row r="367" spans="7:7" ht="13.2" customHeight="1" x14ac:dyDescent="0.25">
      <c r="G367" s="5"/>
    </row>
    <row r="368" spans="7:7" ht="13.2" customHeight="1" x14ac:dyDescent="0.25">
      <c r="G368" s="5"/>
    </row>
    <row r="369" spans="7:7" ht="13.2" customHeight="1" x14ac:dyDescent="0.25">
      <c r="G369" s="5"/>
    </row>
    <row r="370" spans="7:7" ht="13.2" customHeight="1" x14ac:dyDescent="0.25">
      <c r="G370" s="5"/>
    </row>
    <row r="371" spans="7:7" ht="13.2" customHeight="1" x14ac:dyDescent="0.25">
      <c r="G371" s="5"/>
    </row>
    <row r="372" spans="7:7" ht="13.2" customHeight="1" x14ac:dyDescent="0.25">
      <c r="G372" s="5"/>
    </row>
    <row r="373" spans="7:7" ht="13.2" customHeight="1" x14ac:dyDescent="0.25">
      <c r="G373" s="5"/>
    </row>
    <row r="374" spans="7:7" ht="13.2" customHeight="1" x14ac:dyDescent="0.25">
      <c r="G374" s="5"/>
    </row>
    <row r="375" spans="7:7" ht="13.2" customHeight="1" x14ac:dyDescent="0.25">
      <c r="G375" s="5"/>
    </row>
    <row r="376" spans="7:7" ht="13.2" customHeight="1" x14ac:dyDescent="0.25">
      <c r="G376" s="5"/>
    </row>
    <row r="377" spans="7:7" ht="13.2" customHeight="1" x14ac:dyDescent="0.25">
      <c r="G377" s="5"/>
    </row>
    <row r="378" spans="7:7" ht="13.2" customHeight="1" x14ac:dyDescent="0.25">
      <c r="G378" s="5"/>
    </row>
    <row r="379" spans="7:7" ht="13.2" customHeight="1" x14ac:dyDescent="0.25">
      <c r="G379" s="5"/>
    </row>
    <row r="380" spans="7:7" ht="13.2" customHeight="1" x14ac:dyDescent="0.25">
      <c r="G380" s="5"/>
    </row>
    <row r="381" spans="7:7" ht="13.2" customHeight="1" x14ac:dyDescent="0.25">
      <c r="G381" s="5"/>
    </row>
    <row r="382" spans="7:7" ht="13.2" customHeight="1" x14ac:dyDescent="0.25">
      <c r="G382" s="5"/>
    </row>
    <row r="383" spans="7:7" ht="13.2" customHeight="1" x14ac:dyDescent="0.25">
      <c r="G383" s="5"/>
    </row>
    <row r="384" spans="7:7" ht="13.2" customHeight="1" x14ac:dyDescent="0.25">
      <c r="G384" s="5"/>
    </row>
    <row r="385" spans="7:7" ht="13.2" customHeight="1" x14ac:dyDescent="0.25">
      <c r="G385" s="5"/>
    </row>
    <row r="386" spans="7:7" ht="13.2" customHeight="1" x14ac:dyDescent="0.25">
      <c r="G386" s="5"/>
    </row>
    <row r="387" spans="7:7" ht="13.2" customHeight="1" x14ac:dyDescent="0.25">
      <c r="G387" s="5"/>
    </row>
    <row r="388" spans="7:7" ht="13.2" customHeight="1" x14ac:dyDescent="0.25">
      <c r="G388" s="5"/>
    </row>
    <row r="389" spans="7:7" ht="13.2" customHeight="1" x14ac:dyDescent="0.25">
      <c r="G389" s="5"/>
    </row>
    <row r="390" spans="7:7" ht="13.2" customHeight="1" x14ac:dyDescent="0.25">
      <c r="G390" s="5"/>
    </row>
    <row r="391" spans="7:7" ht="13.2" customHeight="1" x14ac:dyDescent="0.25">
      <c r="G391" s="5"/>
    </row>
    <row r="392" spans="7:7" ht="13.2" customHeight="1" x14ac:dyDescent="0.25">
      <c r="G392" s="5"/>
    </row>
    <row r="393" spans="7:7" ht="13.2" customHeight="1" x14ac:dyDescent="0.25">
      <c r="G393" s="5"/>
    </row>
    <row r="394" spans="7:7" ht="13.2" customHeight="1" x14ac:dyDescent="0.25">
      <c r="G394" s="5"/>
    </row>
    <row r="395" spans="7:7" ht="13.2" customHeight="1" x14ac:dyDescent="0.25">
      <c r="G395" s="5"/>
    </row>
    <row r="396" spans="7:7" ht="13.2" customHeight="1" x14ac:dyDescent="0.25">
      <c r="G396" s="5"/>
    </row>
    <row r="397" spans="7:7" ht="13.2" customHeight="1" x14ac:dyDescent="0.25">
      <c r="G397" s="5"/>
    </row>
    <row r="398" spans="7:7" ht="13.2" customHeight="1" x14ac:dyDescent="0.25">
      <c r="G398" s="5"/>
    </row>
    <row r="399" spans="7:7" ht="13.2" customHeight="1" x14ac:dyDescent="0.25">
      <c r="G399" s="5"/>
    </row>
    <row r="400" spans="7:7" ht="13.2" customHeight="1" x14ac:dyDescent="0.25">
      <c r="G400" s="5"/>
    </row>
    <row r="401" spans="7:7" ht="13.2" customHeight="1" x14ac:dyDescent="0.25">
      <c r="G401" s="5"/>
    </row>
    <row r="402" spans="7:7" ht="13.2" customHeight="1" x14ac:dyDescent="0.25">
      <c r="G402" s="5"/>
    </row>
    <row r="403" spans="7:7" ht="13.2" customHeight="1" x14ac:dyDescent="0.25">
      <c r="G403" s="5"/>
    </row>
    <row r="404" spans="7:7" ht="13.2" customHeight="1" x14ac:dyDescent="0.25">
      <c r="G404" s="5"/>
    </row>
    <row r="405" spans="7:7" ht="13.2" customHeight="1" x14ac:dyDescent="0.25">
      <c r="G405" s="5"/>
    </row>
    <row r="406" spans="7:7" ht="13.2" customHeight="1" x14ac:dyDescent="0.25">
      <c r="G406" s="5"/>
    </row>
    <row r="407" spans="7:7" ht="13.2" customHeight="1" x14ac:dyDescent="0.25">
      <c r="G407" s="5"/>
    </row>
    <row r="408" spans="7:7" ht="13.2" customHeight="1" x14ac:dyDescent="0.25">
      <c r="G408" s="5"/>
    </row>
    <row r="409" spans="7:7" ht="13.2" customHeight="1" x14ac:dyDescent="0.25">
      <c r="G409" s="5"/>
    </row>
    <row r="410" spans="7:7" ht="13.2" customHeight="1" x14ac:dyDescent="0.25">
      <c r="G410" s="5"/>
    </row>
    <row r="411" spans="7:7" ht="13.2" customHeight="1" x14ac:dyDescent="0.25">
      <c r="G411" s="5"/>
    </row>
    <row r="412" spans="7:7" ht="13.2" customHeight="1" x14ac:dyDescent="0.25">
      <c r="G412" s="5"/>
    </row>
    <row r="413" spans="7:7" ht="13.2" customHeight="1" x14ac:dyDescent="0.25">
      <c r="G413" s="5"/>
    </row>
    <row r="414" spans="7:7" ht="13.2" customHeight="1" x14ac:dyDescent="0.25">
      <c r="G414" s="5"/>
    </row>
    <row r="415" spans="7:7" ht="13.2" customHeight="1" x14ac:dyDescent="0.25">
      <c r="G415" s="5"/>
    </row>
    <row r="416" spans="7:7" ht="13.2" customHeight="1" x14ac:dyDescent="0.25">
      <c r="G416" s="5"/>
    </row>
    <row r="417" spans="7:7" ht="13.2" customHeight="1" x14ac:dyDescent="0.25">
      <c r="G417" s="5"/>
    </row>
    <row r="418" spans="7:7" ht="13.2" customHeight="1" x14ac:dyDescent="0.25">
      <c r="G418" s="5"/>
    </row>
    <row r="419" spans="7:7" ht="13.2" customHeight="1" x14ac:dyDescent="0.25">
      <c r="G419" s="5"/>
    </row>
    <row r="420" spans="7:7" ht="13.2" customHeight="1" x14ac:dyDescent="0.25">
      <c r="G420" s="5"/>
    </row>
    <row r="421" spans="7:7" ht="13.2" customHeight="1" x14ac:dyDescent="0.25">
      <c r="G421" s="5"/>
    </row>
    <row r="422" spans="7:7" ht="13.2" customHeight="1" x14ac:dyDescent="0.25">
      <c r="G422" s="5"/>
    </row>
    <row r="423" spans="7:7" ht="13.2" customHeight="1" x14ac:dyDescent="0.25">
      <c r="G423" s="5"/>
    </row>
    <row r="424" spans="7:7" ht="13.2" customHeight="1" x14ac:dyDescent="0.25">
      <c r="G424" s="5"/>
    </row>
    <row r="425" spans="7:7" ht="13.2" customHeight="1" x14ac:dyDescent="0.25">
      <c r="G425" s="5"/>
    </row>
    <row r="426" spans="7:7" ht="13.2" customHeight="1" x14ac:dyDescent="0.25">
      <c r="G426" s="5"/>
    </row>
    <row r="427" spans="7:7" ht="13.2" customHeight="1" x14ac:dyDescent="0.25">
      <c r="G427" s="5"/>
    </row>
    <row r="428" spans="7:7" ht="13.2" customHeight="1" x14ac:dyDescent="0.25">
      <c r="G428" s="5"/>
    </row>
    <row r="429" spans="7:7" ht="13.2" customHeight="1" x14ac:dyDescent="0.25">
      <c r="G429" s="5"/>
    </row>
    <row r="430" spans="7:7" ht="13.2" customHeight="1" x14ac:dyDescent="0.25">
      <c r="G430" s="5"/>
    </row>
    <row r="431" spans="7:7" ht="13.2" customHeight="1" x14ac:dyDescent="0.25">
      <c r="G431" s="5"/>
    </row>
    <row r="432" spans="7:7" ht="13.2" customHeight="1" x14ac:dyDescent="0.25">
      <c r="G432" s="5"/>
    </row>
    <row r="433" spans="7:7" ht="13.2" customHeight="1" x14ac:dyDescent="0.25">
      <c r="G433" s="5"/>
    </row>
    <row r="434" spans="7:7" ht="13.2" customHeight="1" x14ac:dyDescent="0.25">
      <c r="G434" s="5"/>
    </row>
    <row r="435" spans="7:7" ht="13.2" customHeight="1" x14ac:dyDescent="0.25">
      <c r="G435" s="5"/>
    </row>
    <row r="436" spans="7:7" ht="13.2" customHeight="1" x14ac:dyDescent="0.25">
      <c r="G436" s="5"/>
    </row>
    <row r="437" spans="7:7" ht="13.2" customHeight="1" x14ac:dyDescent="0.25">
      <c r="G437" s="5"/>
    </row>
    <row r="438" spans="7:7" ht="13.2" customHeight="1" x14ac:dyDescent="0.25">
      <c r="G438" s="5"/>
    </row>
    <row r="439" spans="7:7" ht="13.2" customHeight="1" x14ac:dyDescent="0.25">
      <c r="G439" s="5"/>
    </row>
    <row r="440" spans="7:7" ht="13.2" customHeight="1" x14ac:dyDescent="0.25">
      <c r="G440" s="5"/>
    </row>
    <row r="441" spans="7:7" ht="13.2" customHeight="1" x14ac:dyDescent="0.25">
      <c r="G441" s="5"/>
    </row>
    <row r="442" spans="7:7" ht="13.2" customHeight="1" x14ac:dyDescent="0.25">
      <c r="G442" s="5"/>
    </row>
    <row r="443" spans="7:7" ht="13.2" customHeight="1" x14ac:dyDescent="0.25">
      <c r="G443" s="5"/>
    </row>
    <row r="444" spans="7:7" ht="13.2" customHeight="1" x14ac:dyDescent="0.25">
      <c r="G444" s="5"/>
    </row>
    <row r="445" spans="7:7" ht="13.2" customHeight="1" x14ac:dyDescent="0.25">
      <c r="G445" s="5"/>
    </row>
    <row r="446" spans="7:7" ht="13.2" customHeight="1" x14ac:dyDescent="0.25">
      <c r="G446" s="5"/>
    </row>
    <row r="447" spans="7:7" ht="13.2" customHeight="1" x14ac:dyDescent="0.25">
      <c r="G447" s="5"/>
    </row>
    <row r="448" spans="7:7" ht="13.2" customHeight="1" x14ac:dyDescent="0.25">
      <c r="G448" s="5"/>
    </row>
    <row r="449" spans="7:7" ht="13.2" customHeight="1" x14ac:dyDescent="0.25">
      <c r="G449" s="5"/>
    </row>
    <row r="450" spans="7:7" ht="13.2" customHeight="1" x14ac:dyDescent="0.25">
      <c r="G450" s="5"/>
    </row>
    <row r="451" spans="7:7" ht="13.2" customHeight="1" x14ac:dyDescent="0.25">
      <c r="G451" s="5"/>
    </row>
    <row r="452" spans="7:7" ht="13.2" customHeight="1" x14ac:dyDescent="0.25">
      <c r="G452" s="5"/>
    </row>
    <row r="453" spans="7:7" ht="13.2" customHeight="1" x14ac:dyDescent="0.25">
      <c r="G453" s="5"/>
    </row>
    <row r="454" spans="7:7" ht="13.2" customHeight="1" x14ac:dyDescent="0.25">
      <c r="G454" s="5"/>
    </row>
    <row r="455" spans="7:7" ht="13.2" customHeight="1" x14ac:dyDescent="0.25">
      <c r="G455" s="5"/>
    </row>
    <row r="456" spans="7:7" ht="13.2" customHeight="1" x14ac:dyDescent="0.25">
      <c r="G456" s="5"/>
    </row>
    <row r="457" spans="7:7" ht="13.2" customHeight="1" x14ac:dyDescent="0.25">
      <c r="G457" s="5"/>
    </row>
    <row r="458" spans="7:7" ht="13.2" customHeight="1" x14ac:dyDescent="0.25">
      <c r="G458" s="5"/>
    </row>
    <row r="459" spans="7:7" ht="13.2" customHeight="1" x14ac:dyDescent="0.25">
      <c r="G459" s="5"/>
    </row>
    <row r="460" spans="7:7" ht="13.2" customHeight="1" x14ac:dyDescent="0.25">
      <c r="G460" s="5"/>
    </row>
    <row r="461" spans="7:7" ht="13.2" customHeight="1" x14ac:dyDescent="0.25">
      <c r="G461" s="5"/>
    </row>
    <row r="462" spans="7:7" ht="13.2" customHeight="1" x14ac:dyDescent="0.25">
      <c r="G462" s="5"/>
    </row>
    <row r="463" spans="7:7" ht="13.2" customHeight="1" x14ac:dyDescent="0.25">
      <c r="G463" s="5"/>
    </row>
    <row r="464" spans="7:7" ht="13.2" customHeight="1" x14ac:dyDescent="0.25">
      <c r="G464" s="5"/>
    </row>
    <row r="465" spans="7:7" ht="13.2" customHeight="1" x14ac:dyDescent="0.25">
      <c r="G465" s="5"/>
    </row>
    <row r="466" spans="7:7" ht="13.2" customHeight="1" x14ac:dyDescent="0.25">
      <c r="G466" s="5"/>
    </row>
    <row r="467" spans="7:7" ht="13.2" customHeight="1" x14ac:dyDescent="0.25">
      <c r="G467" s="5"/>
    </row>
    <row r="468" spans="7:7" ht="13.2" customHeight="1" x14ac:dyDescent="0.25">
      <c r="G468" s="5"/>
    </row>
    <row r="469" spans="7:7" ht="13.2" customHeight="1" x14ac:dyDescent="0.25">
      <c r="G469" s="5"/>
    </row>
    <row r="470" spans="7:7" ht="13.2" customHeight="1" x14ac:dyDescent="0.25">
      <c r="G470" s="5"/>
    </row>
    <row r="471" spans="7:7" ht="13.2" customHeight="1" x14ac:dyDescent="0.25">
      <c r="G471" s="5"/>
    </row>
    <row r="472" spans="7:7" ht="13.2" customHeight="1" x14ac:dyDescent="0.25">
      <c r="G472" s="5"/>
    </row>
    <row r="473" spans="7:7" ht="13.2" customHeight="1" x14ac:dyDescent="0.25">
      <c r="G473" s="5"/>
    </row>
    <row r="474" spans="7:7" ht="13.2" customHeight="1" x14ac:dyDescent="0.25">
      <c r="G474" s="5"/>
    </row>
    <row r="475" spans="7:7" ht="13.2" customHeight="1" x14ac:dyDescent="0.25">
      <c r="G475" s="5"/>
    </row>
    <row r="476" spans="7:7" ht="13.2" customHeight="1" x14ac:dyDescent="0.25">
      <c r="G476" s="5"/>
    </row>
    <row r="477" spans="7:7" ht="13.2" customHeight="1" x14ac:dyDescent="0.25">
      <c r="G477" s="5"/>
    </row>
    <row r="478" spans="7:7" ht="13.2" customHeight="1" x14ac:dyDescent="0.25">
      <c r="G478" s="5"/>
    </row>
    <row r="479" spans="7:7" ht="13.2" customHeight="1" x14ac:dyDescent="0.25">
      <c r="G479" s="5"/>
    </row>
    <row r="480" spans="7:7" ht="13.2" customHeight="1" x14ac:dyDescent="0.25">
      <c r="G480" s="5"/>
    </row>
    <row r="481" spans="7:7" ht="13.2" customHeight="1" x14ac:dyDescent="0.25">
      <c r="G481" s="5"/>
    </row>
    <row r="482" spans="7:7" ht="13.2" customHeight="1" x14ac:dyDescent="0.25">
      <c r="G482" s="5"/>
    </row>
    <row r="483" spans="7:7" ht="13.2" customHeight="1" x14ac:dyDescent="0.25">
      <c r="G483" s="5"/>
    </row>
    <row r="484" spans="7:7" ht="13.2" customHeight="1" x14ac:dyDescent="0.25">
      <c r="G484" s="5"/>
    </row>
    <row r="485" spans="7:7" ht="13.2" customHeight="1" x14ac:dyDescent="0.25">
      <c r="G485" s="5"/>
    </row>
    <row r="486" spans="7:7" ht="13.2" customHeight="1" x14ac:dyDescent="0.25">
      <c r="G486" s="5"/>
    </row>
    <row r="487" spans="7:7" ht="13.2" customHeight="1" x14ac:dyDescent="0.25">
      <c r="G487" s="5"/>
    </row>
    <row r="488" spans="7:7" ht="13.2" customHeight="1" x14ac:dyDescent="0.25">
      <c r="G488" s="5"/>
    </row>
    <row r="489" spans="7:7" ht="13.2" customHeight="1" x14ac:dyDescent="0.25">
      <c r="G489" s="5"/>
    </row>
    <row r="490" spans="7:7" ht="13.2" customHeight="1" x14ac:dyDescent="0.25">
      <c r="G490" s="5"/>
    </row>
    <row r="491" spans="7:7" ht="13.2" customHeight="1" x14ac:dyDescent="0.25">
      <c r="G491" s="5"/>
    </row>
    <row r="492" spans="7:7" ht="13.2" customHeight="1" x14ac:dyDescent="0.25">
      <c r="G492" s="5"/>
    </row>
    <row r="493" spans="7:7" ht="13.2" customHeight="1" x14ac:dyDescent="0.25">
      <c r="G493" s="5"/>
    </row>
    <row r="494" spans="7:7" ht="13.2" customHeight="1" x14ac:dyDescent="0.25">
      <c r="G494" s="5"/>
    </row>
    <row r="495" spans="7:7" ht="13.2" customHeight="1" x14ac:dyDescent="0.25">
      <c r="G495" s="5"/>
    </row>
    <row r="496" spans="7:7" ht="13.2" customHeight="1" x14ac:dyDescent="0.25">
      <c r="G496" s="5"/>
    </row>
    <row r="497" spans="7:7" ht="13.2" customHeight="1" x14ac:dyDescent="0.25">
      <c r="G497" s="5"/>
    </row>
    <row r="498" spans="7:7" ht="13.2" customHeight="1" x14ac:dyDescent="0.25">
      <c r="G498" s="5"/>
    </row>
    <row r="499" spans="7:7" ht="13.2" customHeight="1" x14ac:dyDescent="0.25">
      <c r="G499" s="5"/>
    </row>
    <row r="500" spans="7:7" ht="13.2" customHeight="1" x14ac:dyDescent="0.25">
      <c r="G500" s="5"/>
    </row>
    <row r="501" spans="7:7" ht="13.2" customHeight="1" x14ac:dyDescent="0.25">
      <c r="G501" s="5"/>
    </row>
    <row r="502" spans="7:7" ht="13.2" customHeight="1" x14ac:dyDescent="0.25">
      <c r="G502" s="5"/>
    </row>
    <row r="503" spans="7:7" ht="13.2" customHeight="1" x14ac:dyDescent="0.25">
      <c r="G503" s="5"/>
    </row>
    <row r="504" spans="7:7" ht="13.2" customHeight="1" x14ac:dyDescent="0.25">
      <c r="G504" s="5"/>
    </row>
    <row r="505" spans="7:7" ht="13.2" customHeight="1" x14ac:dyDescent="0.25">
      <c r="G505" s="5"/>
    </row>
    <row r="506" spans="7:7" ht="13.2" customHeight="1" x14ac:dyDescent="0.25">
      <c r="G506" s="5"/>
    </row>
    <row r="507" spans="7:7" ht="13.2" customHeight="1" x14ac:dyDescent="0.25">
      <c r="G507" s="5"/>
    </row>
    <row r="508" spans="7:7" ht="13.2" customHeight="1" x14ac:dyDescent="0.25">
      <c r="G508" s="5"/>
    </row>
    <row r="509" spans="7:7" ht="13.2" customHeight="1" x14ac:dyDescent="0.25">
      <c r="G509" s="5"/>
    </row>
    <row r="510" spans="7:7" ht="13.2" customHeight="1" x14ac:dyDescent="0.25">
      <c r="G510" s="5"/>
    </row>
    <row r="511" spans="7:7" ht="13.2" customHeight="1" x14ac:dyDescent="0.25">
      <c r="G511" s="5"/>
    </row>
    <row r="512" spans="7:7" ht="13.2" customHeight="1" x14ac:dyDescent="0.25">
      <c r="G512" s="5"/>
    </row>
    <row r="513" spans="7:7" ht="13.2" customHeight="1" x14ac:dyDescent="0.25">
      <c r="G513" s="5"/>
    </row>
    <row r="514" spans="7:7" ht="13.2" customHeight="1" x14ac:dyDescent="0.25">
      <c r="G514" s="5"/>
    </row>
    <row r="515" spans="7:7" ht="13.2" customHeight="1" x14ac:dyDescent="0.25">
      <c r="G515" s="5"/>
    </row>
    <row r="516" spans="7:7" ht="13.2" customHeight="1" x14ac:dyDescent="0.25">
      <c r="G516" s="5"/>
    </row>
    <row r="517" spans="7:7" ht="13.2" customHeight="1" x14ac:dyDescent="0.25">
      <c r="G517" s="5"/>
    </row>
    <row r="518" spans="7:7" ht="13.2" customHeight="1" x14ac:dyDescent="0.25">
      <c r="G518" s="5"/>
    </row>
    <row r="519" spans="7:7" ht="13.2" customHeight="1" x14ac:dyDescent="0.25">
      <c r="G519" s="5"/>
    </row>
    <row r="520" spans="7:7" ht="13.2" customHeight="1" x14ac:dyDescent="0.25">
      <c r="G520" s="5"/>
    </row>
    <row r="521" spans="7:7" ht="13.2" customHeight="1" x14ac:dyDescent="0.25">
      <c r="G521" s="5"/>
    </row>
    <row r="522" spans="7:7" ht="13.2" customHeight="1" x14ac:dyDescent="0.25">
      <c r="G522" s="5"/>
    </row>
    <row r="523" spans="7:7" ht="13.2" customHeight="1" x14ac:dyDescent="0.25">
      <c r="G523" s="5"/>
    </row>
    <row r="524" spans="7:7" ht="13.2" customHeight="1" x14ac:dyDescent="0.25">
      <c r="G524" s="5"/>
    </row>
    <row r="525" spans="7:7" ht="13.2" customHeight="1" x14ac:dyDescent="0.25">
      <c r="G525" s="5"/>
    </row>
    <row r="526" spans="7:7" ht="13.2" customHeight="1" x14ac:dyDescent="0.25">
      <c r="G526" s="5"/>
    </row>
    <row r="527" spans="7:7" ht="13.2" customHeight="1" x14ac:dyDescent="0.25">
      <c r="G527" s="5"/>
    </row>
    <row r="528" spans="7:7" ht="13.2" customHeight="1" x14ac:dyDescent="0.25">
      <c r="G528" s="5"/>
    </row>
    <row r="529" spans="7:7" ht="13.2" customHeight="1" x14ac:dyDescent="0.25">
      <c r="G529" s="5"/>
    </row>
    <row r="530" spans="7:7" ht="13.2" customHeight="1" x14ac:dyDescent="0.25">
      <c r="G530" s="5"/>
    </row>
    <row r="531" spans="7:7" ht="13.2" customHeight="1" x14ac:dyDescent="0.25">
      <c r="G531" s="5"/>
    </row>
    <row r="532" spans="7:7" ht="13.2" customHeight="1" x14ac:dyDescent="0.25">
      <c r="G532" s="5"/>
    </row>
    <row r="533" spans="7:7" ht="13.2" customHeight="1" x14ac:dyDescent="0.25">
      <c r="G533" s="5"/>
    </row>
    <row r="534" spans="7:7" ht="13.2" customHeight="1" x14ac:dyDescent="0.25">
      <c r="G534" s="5"/>
    </row>
    <row r="535" spans="7:7" ht="13.2" customHeight="1" x14ac:dyDescent="0.25">
      <c r="G535" s="5"/>
    </row>
    <row r="536" spans="7:7" ht="13.2" customHeight="1" x14ac:dyDescent="0.25">
      <c r="G536" s="5"/>
    </row>
    <row r="537" spans="7:7" ht="13.2" customHeight="1" x14ac:dyDescent="0.25">
      <c r="G537" s="5"/>
    </row>
    <row r="538" spans="7:7" ht="13.2" customHeight="1" x14ac:dyDescent="0.25">
      <c r="G538" s="5"/>
    </row>
    <row r="539" spans="7:7" ht="13.2" customHeight="1" x14ac:dyDescent="0.25">
      <c r="G539" s="5"/>
    </row>
    <row r="540" spans="7:7" ht="13.2" customHeight="1" x14ac:dyDescent="0.25">
      <c r="G540" s="5"/>
    </row>
    <row r="541" spans="7:7" ht="13.2" customHeight="1" x14ac:dyDescent="0.25">
      <c r="G541" s="5"/>
    </row>
    <row r="542" spans="7:7" ht="13.2" customHeight="1" x14ac:dyDescent="0.25">
      <c r="G542" s="5"/>
    </row>
    <row r="543" spans="7:7" ht="13.2" customHeight="1" x14ac:dyDescent="0.25">
      <c r="G543" s="5"/>
    </row>
    <row r="544" spans="7:7" ht="13.2" customHeight="1" x14ac:dyDescent="0.25">
      <c r="G544" s="5"/>
    </row>
    <row r="545" spans="7:7" ht="13.2" customHeight="1" x14ac:dyDescent="0.25">
      <c r="G545" s="5"/>
    </row>
    <row r="546" spans="7:7" ht="13.2" customHeight="1" x14ac:dyDescent="0.25">
      <c r="G546" s="5"/>
    </row>
    <row r="547" spans="7:7" ht="13.2" customHeight="1" x14ac:dyDescent="0.25">
      <c r="G547" s="5"/>
    </row>
    <row r="548" spans="7:7" ht="13.2" customHeight="1" x14ac:dyDescent="0.25">
      <c r="G548" s="5"/>
    </row>
    <row r="549" spans="7:7" ht="13.2" customHeight="1" x14ac:dyDescent="0.25">
      <c r="G549" s="5"/>
    </row>
    <row r="550" spans="7:7" ht="13.2" customHeight="1" x14ac:dyDescent="0.25">
      <c r="G550" s="5"/>
    </row>
    <row r="551" spans="7:7" ht="13.2" customHeight="1" x14ac:dyDescent="0.25">
      <c r="G551" s="5"/>
    </row>
    <row r="552" spans="7:7" ht="13.2" customHeight="1" x14ac:dyDescent="0.25">
      <c r="G552" s="5"/>
    </row>
    <row r="553" spans="7:7" ht="13.2" customHeight="1" x14ac:dyDescent="0.25">
      <c r="G553" s="5"/>
    </row>
    <row r="554" spans="7:7" ht="13.2" customHeight="1" x14ac:dyDescent="0.25">
      <c r="G554" s="5"/>
    </row>
    <row r="555" spans="7:7" ht="13.2" customHeight="1" x14ac:dyDescent="0.25">
      <c r="G555" s="5"/>
    </row>
    <row r="556" spans="7:7" ht="13.2" customHeight="1" x14ac:dyDescent="0.25">
      <c r="G556" s="5"/>
    </row>
    <row r="557" spans="7:7" ht="13.2" customHeight="1" x14ac:dyDescent="0.25">
      <c r="G557" s="5"/>
    </row>
    <row r="558" spans="7:7" ht="13.2" customHeight="1" x14ac:dyDescent="0.25">
      <c r="G558" s="5"/>
    </row>
    <row r="559" spans="7:7" ht="13.2" customHeight="1" x14ac:dyDescent="0.25">
      <c r="G559" s="5"/>
    </row>
    <row r="560" spans="7:7" ht="13.2" customHeight="1" x14ac:dyDescent="0.25">
      <c r="G560" s="5"/>
    </row>
    <row r="561" spans="7:7" ht="13.2" customHeight="1" x14ac:dyDescent="0.25">
      <c r="G561" s="5"/>
    </row>
    <row r="562" spans="7:7" ht="13.2" customHeight="1" x14ac:dyDescent="0.25">
      <c r="G562" s="5"/>
    </row>
    <row r="563" spans="7:7" ht="13.2" customHeight="1" x14ac:dyDescent="0.25">
      <c r="G563" s="5"/>
    </row>
    <row r="564" spans="7:7" ht="13.2" customHeight="1" x14ac:dyDescent="0.25">
      <c r="G564" s="5"/>
    </row>
    <row r="565" spans="7:7" ht="13.2" customHeight="1" x14ac:dyDescent="0.25">
      <c r="G565" s="5"/>
    </row>
    <row r="566" spans="7:7" ht="13.2" customHeight="1" x14ac:dyDescent="0.25">
      <c r="G566" s="5"/>
    </row>
    <row r="567" spans="7:7" ht="13.2" customHeight="1" x14ac:dyDescent="0.25">
      <c r="G567" s="5"/>
    </row>
    <row r="568" spans="7:7" ht="13.2" customHeight="1" x14ac:dyDescent="0.25">
      <c r="G568" s="5"/>
    </row>
    <row r="569" spans="7:7" ht="13.2" customHeight="1" x14ac:dyDescent="0.25">
      <c r="G569" s="5"/>
    </row>
    <row r="570" spans="7:7" ht="13.2" customHeight="1" x14ac:dyDescent="0.25">
      <c r="G570" s="5"/>
    </row>
    <row r="571" spans="7:7" ht="13.2" customHeight="1" x14ac:dyDescent="0.25">
      <c r="G571" s="5"/>
    </row>
    <row r="572" spans="7:7" ht="13.2" customHeight="1" x14ac:dyDescent="0.25">
      <c r="G572" s="5"/>
    </row>
    <row r="573" spans="7:7" ht="13.2" customHeight="1" x14ac:dyDescent="0.25">
      <c r="G573" s="5"/>
    </row>
    <row r="574" spans="7:7" ht="13.2" customHeight="1" x14ac:dyDescent="0.25">
      <c r="G574" s="5"/>
    </row>
    <row r="575" spans="7:7" ht="13.2" customHeight="1" x14ac:dyDescent="0.25">
      <c r="G575" s="5"/>
    </row>
    <row r="576" spans="7:7" ht="13.2" customHeight="1" x14ac:dyDescent="0.25">
      <c r="G576" s="5"/>
    </row>
    <row r="577" spans="7:7" ht="13.2" customHeight="1" x14ac:dyDescent="0.25">
      <c r="G577" s="5"/>
    </row>
    <row r="578" spans="7:7" ht="13.2" customHeight="1" x14ac:dyDescent="0.25">
      <c r="G578" s="5"/>
    </row>
    <row r="579" spans="7:7" ht="13.2" customHeight="1" x14ac:dyDescent="0.25">
      <c r="G579" s="5"/>
    </row>
    <row r="580" spans="7:7" ht="13.2" customHeight="1" x14ac:dyDescent="0.25">
      <c r="G580" s="5"/>
    </row>
    <row r="581" spans="7:7" ht="13.2" customHeight="1" x14ac:dyDescent="0.25">
      <c r="G581" s="5"/>
    </row>
    <row r="582" spans="7:7" ht="13.2" customHeight="1" x14ac:dyDescent="0.25">
      <c r="G582" s="5"/>
    </row>
    <row r="583" spans="7:7" ht="13.2" customHeight="1" x14ac:dyDescent="0.25">
      <c r="G583" s="5"/>
    </row>
    <row r="584" spans="7:7" ht="13.2" customHeight="1" x14ac:dyDescent="0.25">
      <c r="G584" s="5"/>
    </row>
    <row r="585" spans="7:7" ht="13.2" customHeight="1" x14ac:dyDescent="0.25">
      <c r="G585" s="5"/>
    </row>
    <row r="586" spans="7:7" ht="13.2" customHeight="1" x14ac:dyDescent="0.25">
      <c r="G586" s="5"/>
    </row>
    <row r="587" spans="7:7" ht="13.2" customHeight="1" x14ac:dyDescent="0.25">
      <c r="G587" s="5"/>
    </row>
    <row r="588" spans="7:7" ht="13.2" customHeight="1" x14ac:dyDescent="0.25">
      <c r="G588" s="5"/>
    </row>
    <row r="589" spans="7:7" ht="13.2" customHeight="1" x14ac:dyDescent="0.25">
      <c r="G589" s="5"/>
    </row>
    <row r="590" spans="7:7" ht="13.2" customHeight="1" x14ac:dyDescent="0.25">
      <c r="G590" s="5"/>
    </row>
    <row r="591" spans="7:7" ht="13.2" customHeight="1" x14ac:dyDescent="0.25">
      <c r="G591" s="5"/>
    </row>
    <row r="592" spans="7:7" ht="13.2" customHeight="1" x14ac:dyDescent="0.25">
      <c r="G592" s="5"/>
    </row>
    <row r="593" spans="7:7" ht="13.2" customHeight="1" x14ac:dyDescent="0.25">
      <c r="G593" s="5"/>
    </row>
    <row r="594" spans="7:7" ht="13.2" customHeight="1" x14ac:dyDescent="0.25">
      <c r="G594" s="5"/>
    </row>
    <row r="595" spans="7:7" ht="13.2" customHeight="1" x14ac:dyDescent="0.25">
      <c r="G595" s="5"/>
    </row>
    <row r="596" spans="7:7" ht="13.2" customHeight="1" x14ac:dyDescent="0.25">
      <c r="G596" s="5"/>
    </row>
    <row r="597" spans="7:7" ht="13.2" customHeight="1" x14ac:dyDescent="0.25">
      <c r="G597" s="5"/>
    </row>
    <row r="598" spans="7:7" ht="13.2" customHeight="1" x14ac:dyDescent="0.25">
      <c r="G598" s="5"/>
    </row>
    <row r="599" spans="7:7" ht="13.2" customHeight="1" x14ac:dyDescent="0.25">
      <c r="G599" s="5"/>
    </row>
    <row r="600" spans="7:7" ht="13.2" customHeight="1" x14ac:dyDescent="0.25">
      <c r="G600" s="5"/>
    </row>
    <row r="601" spans="7:7" ht="13.2" customHeight="1" x14ac:dyDescent="0.25">
      <c r="G601" s="5"/>
    </row>
    <row r="602" spans="7:7" ht="13.2" customHeight="1" x14ac:dyDescent="0.25">
      <c r="G602" s="5"/>
    </row>
    <row r="603" spans="7:7" ht="13.2" customHeight="1" x14ac:dyDescent="0.25">
      <c r="G603" s="5"/>
    </row>
    <row r="604" spans="7:7" ht="13.2" customHeight="1" x14ac:dyDescent="0.25">
      <c r="G604" s="5"/>
    </row>
    <row r="605" spans="7:7" ht="13.2" customHeight="1" x14ac:dyDescent="0.25">
      <c r="G605" s="5"/>
    </row>
    <row r="606" spans="7:7" ht="13.2" customHeight="1" x14ac:dyDescent="0.25">
      <c r="G606" s="5"/>
    </row>
    <row r="607" spans="7:7" ht="13.2" customHeight="1" x14ac:dyDescent="0.25">
      <c r="G607" s="5"/>
    </row>
    <row r="608" spans="7:7" ht="13.2" customHeight="1" x14ac:dyDescent="0.25">
      <c r="G608" s="5"/>
    </row>
    <row r="609" spans="7:7" ht="13.2" customHeight="1" x14ac:dyDescent="0.25">
      <c r="G609" s="5"/>
    </row>
    <row r="610" spans="7:7" ht="13.2" customHeight="1" x14ac:dyDescent="0.25">
      <c r="G610" s="5"/>
    </row>
    <row r="611" spans="7:7" ht="13.2" customHeight="1" x14ac:dyDescent="0.25">
      <c r="G611" s="5"/>
    </row>
    <row r="612" spans="7:7" ht="13.2" customHeight="1" x14ac:dyDescent="0.25">
      <c r="G612" s="5"/>
    </row>
    <row r="613" spans="7:7" ht="13.2" customHeight="1" x14ac:dyDescent="0.25">
      <c r="G613" s="5"/>
    </row>
    <row r="614" spans="7:7" ht="13.2" customHeight="1" x14ac:dyDescent="0.25">
      <c r="G614" s="5"/>
    </row>
    <row r="615" spans="7:7" ht="13.2" customHeight="1" x14ac:dyDescent="0.25">
      <c r="G615" s="5"/>
    </row>
    <row r="616" spans="7:7" ht="13.2" customHeight="1" x14ac:dyDescent="0.25">
      <c r="G616" s="5"/>
    </row>
    <row r="617" spans="7:7" ht="13.2" customHeight="1" x14ac:dyDescent="0.25">
      <c r="G617" s="5"/>
    </row>
    <row r="618" spans="7:7" ht="13.2" customHeight="1" x14ac:dyDescent="0.25">
      <c r="G618" s="5"/>
    </row>
    <row r="619" spans="7:7" ht="13.2" customHeight="1" x14ac:dyDescent="0.25">
      <c r="G619" s="5"/>
    </row>
    <row r="620" spans="7:7" ht="13.2" customHeight="1" x14ac:dyDescent="0.25">
      <c r="G620" s="5"/>
    </row>
    <row r="621" spans="7:7" ht="13.2" customHeight="1" x14ac:dyDescent="0.25">
      <c r="G621" s="5"/>
    </row>
    <row r="622" spans="7:7" ht="13.2" customHeight="1" x14ac:dyDescent="0.25">
      <c r="G622" s="5"/>
    </row>
    <row r="623" spans="7:7" ht="13.2" customHeight="1" x14ac:dyDescent="0.25">
      <c r="G623" s="5"/>
    </row>
    <row r="624" spans="7:7" ht="13.2" customHeight="1" x14ac:dyDescent="0.25">
      <c r="G624" s="5"/>
    </row>
    <row r="625" spans="7:7" ht="13.2" customHeight="1" x14ac:dyDescent="0.25">
      <c r="G625" s="5"/>
    </row>
    <row r="626" spans="7:7" ht="13.2" customHeight="1" x14ac:dyDescent="0.25">
      <c r="G626" s="5"/>
    </row>
    <row r="627" spans="7:7" ht="13.2" customHeight="1" x14ac:dyDescent="0.25">
      <c r="G627" s="5"/>
    </row>
    <row r="628" spans="7:7" ht="13.2" customHeight="1" x14ac:dyDescent="0.25">
      <c r="G628" s="5"/>
    </row>
    <row r="629" spans="7:7" ht="13.2" customHeight="1" x14ac:dyDescent="0.25">
      <c r="G629" s="5"/>
    </row>
    <row r="630" spans="7:7" ht="13.2" customHeight="1" x14ac:dyDescent="0.25">
      <c r="G630" s="5"/>
    </row>
    <row r="631" spans="7:7" ht="13.2" customHeight="1" x14ac:dyDescent="0.25">
      <c r="G631" s="5"/>
    </row>
    <row r="632" spans="7:7" ht="13.2" customHeight="1" x14ac:dyDescent="0.25">
      <c r="G632" s="5"/>
    </row>
    <row r="633" spans="7:7" ht="13.2" customHeight="1" x14ac:dyDescent="0.25">
      <c r="G633" s="5"/>
    </row>
    <row r="634" spans="7:7" ht="13.2" customHeight="1" x14ac:dyDescent="0.25">
      <c r="G634" s="5"/>
    </row>
    <row r="635" spans="7:7" ht="13.2" customHeight="1" x14ac:dyDescent="0.25">
      <c r="G635" s="5"/>
    </row>
    <row r="636" spans="7:7" ht="13.2" customHeight="1" x14ac:dyDescent="0.25">
      <c r="G636" s="5"/>
    </row>
    <row r="637" spans="7:7" ht="13.2" customHeight="1" x14ac:dyDescent="0.25">
      <c r="G637" s="5"/>
    </row>
    <row r="638" spans="7:7" ht="13.2" customHeight="1" x14ac:dyDescent="0.25">
      <c r="G638" s="5"/>
    </row>
    <row r="639" spans="7:7" ht="13.2" customHeight="1" x14ac:dyDescent="0.25">
      <c r="G639" s="5"/>
    </row>
    <row r="640" spans="7:7" ht="13.2" customHeight="1" x14ac:dyDescent="0.25">
      <c r="G640" s="5"/>
    </row>
    <row r="641" spans="7:7" ht="13.2" customHeight="1" x14ac:dyDescent="0.25">
      <c r="G641" s="5"/>
    </row>
    <row r="642" spans="7:7" ht="13.2" customHeight="1" x14ac:dyDescent="0.25">
      <c r="G642" s="5"/>
    </row>
    <row r="643" spans="7:7" ht="13.2" customHeight="1" x14ac:dyDescent="0.25">
      <c r="G643" s="5"/>
    </row>
    <row r="644" spans="7:7" ht="13.2" customHeight="1" x14ac:dyDescent="0.25">
      <c r="G644" s="5"/>
    </row>
    <row r="645" spans="7:7" ht="13.2" customHeight="1" x14ac:dyDescent="0.25">
      <c r="G645" s="5"/>
    </row>
    <row r="646" spans="7:7" ht="13.2" customHeight="1" x14ac:dyDescent="0.25">
      <c r="G646" s="5"/>
    </row>
    <row r="647" spans="7:7" ht="13.2" customHeight="1" x14ac:dyDescent="0.25">
      <c r="G647" s="5"/>
    </row>
    <row r="648" spans="7:7" ht="13.2" customHeight="1" x14ac:dyDescent="0.25">
      <c r="G648" s="5"/>
    </row>
    <row r="649" spans="7:7" ht="13.2" customHeight="1" x14ac:dyDescent="0.25">
      <c r="G649" s="5"/>
    </row>
    <row r="650" spans="7:7" ht="13.2" customHeight="1" x14ac:dyDescent="0.25">
      <c r="G650" s="5"/>
    </row>
    <row r="651" spans="7:7" ht="13.2" customHeight="1" x14ac:dyDescent="0.25">
      <c r="G651" s="5"/>
    </row>
    <row r="652" spans="7:7" ht="13.2" customHeight="1" x14ac:dyDescent="0.25">
      <c r="G652" s="5"/>
    </row>
    <row r="653" spans="7:7" ht="13.2" customHeight="1" x14ac:dyDescent="0.25">
      <c r="G653" s="5"/>
    </row>
    <row r="654" spans="7:7" ht="13.2" customHeight="1" x14ac:dyDescent="0.25">
      <c r="G654" s="5"/>
    </row>
    <row r="655" spans="7:7" ht="13.2" customHeight="1" x14ac:dyDescent="0.25">
      <c r="G655" s="5"/>
    </row>
    <row r="656" spans="7:7" ht="13.2" customHeight="1" x14ac:dyDescent="0.25">
      <c r="G656" s="5"/>
    </row>
    <row r="657" spans="7:7" ht="13.2" customHeight="1" x14ac:dyDescent="0.25">
      <c r="G657" s="5"/>
    </row>
    <row r="658" spans="7:7" ht="13.2" customHeight="1" x14ac:dyDescent="0.25">
      <c r="G658" s="5"/>
    </row>
    <row r="659" spans="7:7" ht="13.2" customHeight="1" x14ac:dyDescent="0.25">
      <c r="G659" s="5"/>
    </row>
    <row r="660" spans="7:7" ht="13.2" customHeight="1" x14ac:dyDescent="0.25">
      <c r="G660" s="5"/>
    </row>
    <row r="661" spans="7:7" ht="13.2" customHeight="1" x14ac:dyDescent="0.25">
      <c r="G661" s="5"/>
    </row>
    <row r="662" spans="7:7" ht="13.2" customHeight="1" x14ac:dyDescent="0.25">
      <c r="G662" s="5"/>
    </row>
    <row r="663" spans="7:7" ht="13.2" customHeight="1" x14ac:dyDescent="0.25">
      <c r="G663" s="5"/>
    </row>
    <row r="664" spans="7:7" ht="13.2" customHeight="1" x14ac:dyDescent="0.25">
      <c r="G664" s="5"/>
    </row>
    <row r="665" spans="7:7" ht="13.2" customHeight="1" x14ac:dyDescent="0.25">
      <c r="G665" s="5"/>
    </row>
    <row r="666" spans="7:7" ht="13.2" customHeight="1" x14ac:dyDescent="0.25">
      <c r="G666" s="5"/>
    </row>
    <row r="667" spans="7:7" ht="13.2" customHeight="1" x14ac:dyDescent="0.25">
      <c r="G667" s="5"/>
    </row>
    <row r="668" spans="7:7" ht="13.2" customHeight="1" x14ac:dyDescent="0.25">
      <c r="G668" s="5"/>
    </row>
    <row r="669" spans="7:7" ht="13.2" customHeight="1" x14ac:dyDescent="0.25">
      <c r="G669" s="5"/>
    </row>
    <row r="670" spans="7:7" ht="13.2" customHeight="1" x14ac:dyDescent="0.25">
      <c r="G670" s="5"/>
    </row>
    <row r="671" spans="7:7" ht="13.2" customHeight="1" x14ac:dyDescent="0.25">
      <c r="G671" s="5"/>
    </row>
    <row r="672" spans="7:7" ht="13.2" customHeight="1" x14ac:dyDescent="0.25">
      <c r="G672" s="5"/>
    </row>
    <row r="673" spans="7:7" ht="13.2" customHeight="1" x14ac:dyDescent="0.25">
      <c r="G673" s="5"/>
    </row>
    <row r="674" spans="7:7" ht="13.2" customHeight="1" x14ac:dyDescent="0.25">
      <c r="G674" s="5"/>
    </row>
    <row r="675" spans="7:7" ht="13.2" customHeight="1" x14ac:dyDescent="0.25">
      <c r="G675" s="5"/>
    </row>
    <row r="676" spans="7:7" ht="13.2" customHeight="1" x14ac:dyDescent="0.25">
      <c r="G676" s="5"/>
    </row>
    <row r="677" spans="7:7" ht="13.2" customHeight="1" x14ac:dyDescent="0.25">
      <c r="G677" s="5"/>
    </row>
    <row r="678" spans="7:7" ht="13.2" customHeight="1" x14ac:dyDescent="0.25">
      <c r="G678" s="5"/>
    </row>
    <row r="679" spans="7:7" ht="13.2" customHeight="1" x14ac:dyDescent="0.25">
      <c r="G679" s="5"/>
    </row>
    <row r="680" spans="7:7" ht="13.2" customHeight="1" x14ac:dyDescent="0.25">
      <c r="G680" s="5"/>
    </row>
    <row r="681" spans="7:7" ht="13.2" customHeight="1" x14ac:dyDescent="0.25">
      <c r="G681" s="5"/>
    </row>
    <row r="682" spans="7:7" ht="13.2" customHeight="1" x14ac:dyDescent="0.25">
      <c r="G682" s="5"/>
    </row>
    <row r="683" spans="7:7" ht="13.2" customHeight="1" x14ac:dyDescent="0.25">
      <c r="G683" s="5"/>
    </row>
    <row r="684" spans="7:7" ht="13.2" customHeight="1" x14ac:dyDescent="0.25">
      <c r="G684" s="5"/>
    </row>
    <row r="685" spans="7:7" ht="13.2" customHeight="1" x14ac:dyDescent="0.25">
      <c r="G685" s="5"/>
    </row>
    <row r="686" spans="7:7" ht="13.2" customHeight="1" x14ac:dyDescent="0.25">
      <c r="G686" s="5"/>
    </row>
    <row r="687" spans="7:7" ht="13.2" customHeight="1" x14ac:dyDescent="0.25">
      <c r="G687" s="5"/>
    </row>
    <row r="688" spans="7:7" ht="13.2" customHeight="1" x14ac:dyDescent="0.25">
      <c r="G688" s="5"/>
    </row>
    <row r="689" spans="7:7" ht="13.2" customHeight="1" x14ac:dyDescent="0.25">
      <c r="G689" s="5"/>
    </row>
    <row r="690" spans="7:7" ht="13.2" customHeight="1" x14ac:dyDescent="0.25">
      <c r="G690" s="5"/>
    </row>
    <row r="691" spans="7:7" ht="13.2" customHeight="1" x14ac:dyDescent="0.25">
      <c r="G691" s="5"/>
    </row>
    <row r="692" spans="7:7" ht="13.2" customHeight="1" x14ac:dyDescent="0.25">
      <c r="G692" s="5"/>
    </row>
    <row r="693" spans="7:7" ht="13.2" customHeight="1" x14ac:dyDescent="0.25">
      <c r="G693" s="5"/>
    </row>
    <row r="694" spans="7:7" ht="13.2" customHeight="1" x14ac:dyDescent="0.25">
      <c r="G694" s="5"/>
    </row>
    <row r="695" spans="7:7" ht="13.2" customHeight="1" x14ac:dyDescent="0.25">
      <c r="G695" s="5"/>
    </row>
    <row r="696" spans="7:7" ht="13.2" customHeight="1" x14ac:dyDescent="0.25">
      <c r="G696" s="5"/>
    </row>
    <row r="697" spans="7:7" ht="13.2" customHeight="1" x14ac:dyDescent="0.25">
      <c r="G697" s="5"/>
    </row>
    <row r="698" spans="7:7" ht="13.2" customHeight="1" x14ac:dyDescent="0.25">
      <c r="G698" s="5"/>
    </row>
    <row r="699" spans="7:7" ht="13.2" customHeight="1" x14ac:dyDescent="0.25">
      <c r="G699" s="5"/>
    </row>
    <row r="700" spans="7:7" ht="13.2" customHeight="1" x14ac:dyDescent="0.25">
      <c r="G700" s="5"/>
    </row>
    <row r="701" spans="7:7" ht="13.2" customHeight="1" x14ac:dyDescent="0.25">
      <c r="G701" s="5"/>
    </row>
    <row r="702" spans="7:7" ht="13.2" customHeight="1" x14ac:dyDescent="0.25">
      <c r="G702" s="5"/>
    </row>
    <row r="703" spans="7:7" ht="13.2" customHeight="1" x14ac:dyDescent="0.25">
      <c r="G703" s="5"/>
    </row>
    <row r="704" spans="7:7" ht="13.2" customHeight="1" x14ac:dyDescent="0.25">
      <c r="G704" s="5"/>
    </row>
    <row r="705" spans="7:7" ht="13.2" customHeight="1" x14ac:dyDescent="0.25">
      <c r="G705" s="5"/>
    </row>
    <row r="706" spans="7:7" ht="13.2" customHeight="1" x14ac:dyDescent="0.25">
      <c r="G706" s="5"/>
    </row>
    <row r="707" spans="7:7" ht="13.2" customHeight="1" x14ac:dyDescent="0.25">
      <c r="G707" s="5"/>
    </row>
    <row r="708" spans="7:7" ht="13.2" customHeight="1" x14ac:dyDescent="0.25">
      <c r="G708" s="5"/>
    </row>
    <row r="709" spans="7:7" ht="13.2" customHeight="1" x14ac:dyDescent="0.25">
      <c r="G709" s="5"/>
    </row>
    <row r="710" spans="7:7" ht="13.2" customHeight="1" x14ac:dyDescent="0.25">
      <c r="G710" s="5"/>
    </row>
    <row r="711" spans="7:7" ht="13.2" customHeight="1" x14ac:dyDescent="0.25">
      <c r="G711" s="5"/>
    </row>
    <row r="712" spans="7:7" ht="13.2" customHeight="1" x14ac:dyDescent="0.25">
      <c r="G712" s="5"/>
    </row>
    <row r="713" spans="7:7" ht="13.2" customHeight="1" x14ac:dyDescent="0.25">
      <c r="G713" s="5"/>
    </row>
    <row r="714" spans="7:7" ht="13.2" customHeight="1" x14ac:dyDescent="0.25">
      <c r="G714" s="5"/>
    </row>
    <row r="715" spans="7:7" ht="13.2" customHeight="1" x14ac:dyDescent="0.25">
      <c r="G715" s="5"/>
    </row>
    <row r="716" spans="7:7" ht="13.2" customHeight="1" x14ac:dyDescent="0.25">
      <c r="G716" s="5"/>
    </row>
    <row r="717" spans="7:7" ht="13.2" customHeight="1" x14ac:dyDescent="0.25">
      <c r="G717" s="5"/>
    </row>
    <row r="718" spans="7:7" ht="13.2" customHeight="1" x14ac:dyDescent="0.25">
      <c r="G718" s="5"/>
    </row>
    <row r="719" spans="7:7" ht="13.2" customHeight="1" x14ac:dyDescent="0.25">
      <c r="G719" s="5"/>
    </row>
    <row r="720" spans="7:7" ht="13.2" customHeight="1" x14ac:dyDescent="0.25">
      <c r="G720" s="5"/>
    </row>
    <row r="721" spans="7:7" ht="13.2" customHeight="1" x14ac:dyDescent="0.25">
      <c r="G721" s="5"/>
    </row>
    <row r="722" spans="7:7" ht="13.2" customHeight="1" x14ac:dyDescent="0.25">
      <c r="G722" s="5"/>
    </row>
    <row r="723" spans="7:7" ht="13.2" customHeight="1" x14ac:dyDescent="0.25">
      <c r="G723" s="5"/>
    </row>
    <row r="724" spans="7:7" ht="13.2" customHeight="1" x14ac:dyDescent="0.25">
      <c r="G724" s="5"/>
    </row>
    <row r="725" spans="7:7" ht="13.2" customHeight="1" x14ac:dyDescent="0.25">
      <c r="G725" s="5"/>
    </row>
    <row r="726" spans="7:7" ht="13.2" customHeight="1" x14ac:dyDescent="0.25">
      <c r="G726" s="5"/>
    </row>
    <row r="727" spans="7:7" ht="13.2" customHeight="1" x14ac:dyDescent="0.25">
      <c r="G727" s="5"/>
    </row>
    <row r="728" spans="7:7" ht="13.2" customHeight="1" x14ac:dyDescent="0.25">
      <c r="G728" s="5"/>
    </row>
    <row r="729" spans="7:7" ht="13.2" customHeight="1" x14ac:dyDescent="0.25">
      <c r="G729" s="5"/>
    </row>
    <row r="730" spans="7:7" ht="13.2" customHeight="1" x14ac:dyDescent="0.25">
      <c r="G730" s="5"/>
    </row>
    <row r="731" spans="7:7" ht="13.2" customHeight="1" x14ac:dyDescent="0.25">
      <c r="G731" s="5"/>
    </row>
    <row r="732" spans="7:7" ht="13.2" customHeight="1" x14ac:dyDescent="0.25">
      <c r="G732" s="5"/>
    </row>
    <row r="733" spans="7:7" ht="13.2" customHeight="1" x14ac:dyDescent="0.25">
      <c r="G733" s="5"/>
    </row>
    <row r="734" spans="7:7" ht="13.2" customHeight="1" x14ac:dyDescent="0.25">
      <c r="G734" s="5"/>
    </row>
    <row r="735" spans="7:7" ht="13.2" customHeight="1" x14ac:dyDescent="0.25">
      <c r="G735" s="5"/>
    </row>
    <row r="736" spans="7:7" ht="13.2" customHeight="1" x14ac:dyDescent="0.25">
      <c r="G736" s="5"/>
    </row>
    <row r="737" spans="7:7" ht="13.2" customHeight="1" x14ac:dyDescent="0.25">
      <c r="G737" s="5"/>
    </row>
    <row r="738" spans="7:7" ht="13.2" customHeight="1" x14ac:dyDescent="0.25">
      <c r="G738" s="5"/>
    </row>
    <row r="739" spans="7:7" ht="13.2" customHeight="1" x14ac:dyDescent="0.25">
      <c r="G739" s="5"/>
    </row>
    <row r="740" spans="7:7" ht="13.2" customHeight="1" x14ac:dyDescent="0.25">
      <c r="G740" s="5"/>
    </row>
    <row r="741" spans="7:7" ht="13.2" customHeight="1" x14ac:dyDescent="0.25">
      <c r="G741" s="5"/>
    </row>
    <row r="742" spans="7:7" ht="13.2" customHeight="1" x14ac:dyDescent="0.25">
      <c r="G742" s="5"/>
    </row>
    <row r="743" spans="7:7" ht="13.2" customHeight="1" x14ac:dyDescent="0.25">
      <c r="G743" s="5"/>
    </row>
    <row r="744" spans="7:7" ht="13.2" customHeight="1" x14ac:dyDescent="0.25">
      <c r="G744" s="5"/>
    </row>
    <row r="745" spans="7:7" ht="13.2" customHeight="1" x14ac:dyDescent="0.25">
      <c r="G745" s="5"/>
    </row>
    <row r="746" spans="7:7" ht="13.2" customHeight="1" x14ac:dyDescent="0.25">
      <c r="G746" s="5"/>
    </row>
    <row r="747" spans="7:7" ht="13.2" customHeight="1" x14ac:dyDescent="0.25">
      <c r="G747" s="5"/>
    </row>
    <row r="748" spans="7:7" ht="13.2" customHeight="1" x14ac:dyDescent="0.25">
      <c r="G748" s="5"/>
    </row>
    <row r="749" spans="7:7" ht="13.2" customHeight="1" x14ac:dyDescent="0.25">
      <c r="G749" s="5"/>
    </row>
    <row r="750" spans="7:7" ht="13.2" customHeight="1" x14ac:dyDescent="0.25">
      <c r="G750" s="5"/>
    </row>
    <row r="751" spans="7:7" ht="13.2" customHeight="1" x14ac:dyDescent="0.25">
      <c r="G751" s="5"/>
    </row>
    <row r="752" spans="7:7" ht="13.2" customHeight="1" x14ac:dyDescent="0.25">
      <c r="G752" s="5"/>
    </row>
    <row r="753" spans="7:7" ht="13.2" customHeight="1" x14ac:dyDescent="0.25">
      <c r="G753" s="5"/>
    </row>
    <row r="754" spans="7:7" ht="13.2" customHeight="1" x14ac:dyDescent="0.25">
      <c r="G754" s="5"/>
    </row>
    <row r="755" spans="7:7" ht="13.2" customHeight="1" x14ac:dyDescent="0.25">
      <c r="G755" s="5"/>
    </row>
    <row r="756" spans="7:7" ht="13.2" customHeight="1" x14ac:dyDescent="0.25">
      <c r="G756" s="5"/>
    </row>
    <row r="757" spans="7:7" ht="13.2" customHeight="1" x14ac:dyDescent="0.25">
      <c r="G757" s="5"/>
    </row>
    <row r="758" spans="7:7" ht="13.2" customHeight="1" x14ac:dyDescent="0.25">
      <c r="G758" s="5"/>
    </row>
    <row r="759" spans="7:7" ht="13.2" customHeight="1" x14ac:dyDescent="0.25">
      <c r="G759" s="5"/>
    </row>
    <row r="760" spans="7:7" ht="13.2" customHeight="1" x14ac:dyDescent="0.25">
      <c r="G760" s="5"/>
    </row>
    <row r="761" spans="7:7" ht="13.2" customHeight="1" x14ac:dyDescent="0.25">
      <c r="G761" s="5"/>
    </row>
    <row r="762" spans="7:7" ht="13.2" customHeight="1" x14ac:dyDescent="0.25">
      <c r="G762" s="5"/>
    </row>
    <row r="763" spans="7:7" ht="13.2" customHeight="1" x14ac:dyDescent="0.25">
      <c r="G763" s="5"/>
    </row>
    <row r="764" spans="7:7" ht="13.2" customHeight="1" x14ac:dyDescent="0.25">
      <c r="G764" s="5"/>
    </row>
    <row r="765" spans="7:7" ht="13.2" customHeight="1" x14ac:dyDescent="0.25">
      <c r="G765" s="5"/>
    </row>
    <row r="766" spans="7:7" ht="13.2" customHeight="1" x14ac:dyDescent="0.25">
      <c r="G766" s="5"/>
    </row>
    <row r="767" spans="7:7" ht="13.2" customHeight="1" x14ac:dyDescent="0.25">
      <c r="G767" s="5"/>
    </row>
    <row r="768" spans="7:7" ht="13.2" customHeight="1" x14ac:dyDescent="0.25">
      <c r="G768" s="5"/>
    </row>
    <row r="769" spans="7:7" ht="13.2" customHeight="1" x14ac:dyDescent="0.25">
      <c r="G769" s="5"/>
    </row>
    <row r="770" spans="7:7" ht="13.2" customHeight="1" x14ac:dyDescent="0.25">
      <c r="G770" s="5"/>
    </row>
    <row r="771" spans="7:7" ht="13.2" customHeight="1" x14ac:dyDescent="0.25">
      <c r="G771" s="5"/>
    </row>
    <row r="772" spans="7:7" ht="13.2" customHeight="1" x14ac:dyDescent="0.25">
      <c r="G772" s="5"/>
    </row>
    <row r="773" spans="7:7" ht="13.2" customHeight="1" x14ac:dyDescent="0.25">
      <c r="G773" s="5"/>
    </row>
    <row r="774" spans="7:7" ht="13.2" customHeight="1" x14ac:dyDescent="0.25">
      <c r="G774" s="5"/>
    </row>
    <row r="775" spans="7:7" ht="13.2" customHeight="1" x14ac:dyDescent="0.25">
      <c r="G775" s="5"/>
    </row>
    <row r="776" spans="7:7" ht="13.2" customHeight="1" x14ac:dyDescent="0.25">
      <c r="G776" s="5"/>
    </row>
    <row r="777" spans="7:7" ht="13.2" customHeight="1" x14ac:dyDescent="0.25">
      <c r="G777" s="5"/>
    </row>
    <row r="778" spans="7:7" ht="13.2" customHeight="1" x14ac:dyDescent="0.25">
      <c r="G778" s="5"/>
    </row>
    <row r="779" spans="7:7" ht="13.2" customHeight="1" x14ac:dyDescent="0.25">
      <c r="G779" s="5"/>
    </row>
    <row r="780" spans="7:7" ht="13.2" customHeight="1" x14ac:dyDescent="0.25">
      <c r="G780" s="5"/>
    </row>
    <row r="781" spans="7:7" ht="13.2" customHeight="1" x14ac:dyDescent="0.25">
      <c r="G781" s="5"/>
    </row>
    <row r="782" spans="7:7" ht="13.2" customHeight="1" x14ac:dyDescent="0.25">
      <c r="G782" s="5"/>
    </row>
    <row r="783" spans="7:7" ht="13.2" customHeight="1" x14ac:dyDescent="0.25">
      <c r="G783" s="5"/>
    </row>
    <row r="784" spans="7:7" ht="13.2" customHeight="1" x14ac:dyDescent="0.25">
      <c r="G784" s="5"/>
    </row>
    <row r="785" spans="7:7" ht="13.2" customHeight="1" x14ac:dyDescent="0.25">
      <c r="G785" s="5"/>
    </row>
    <row r="786" spans="7:7" ht="13.2" customHeight="1" x14ac:dyDescent="0.25">
      <c r="G786" s="5"/>
    </row>
    <row r="787" spans="7:7" ht="13.2" customHeight="1" x14ac:dyDescent="0.25">
      <c r="G787" s="5"/>
    </row>
    <row r="788" spans="7:7" ht="13.2" customHeight="1" x14ac:dyDescent="0.25">
      <c r="G788" s="5"/>
    </row>
    <row r="789" spans="7:7" ht="13.2" customHeight="1" x14ac:dyDescent="0.25">
      <c r="G789" s="5"/>
    </row>
    <row r="790" spans="7:7" ht="13.2" customHeight="1" x14ac:dyDescent="0.25">
      <c r="G790" s="5"/>
    </row>
    <row r="791" spans="7:7" ht="13.2" customHeight="1" x14ac:dyDescent="0.25">
      <c r="G791" s="5"/>
    </row>
    <row r="792" spans="7:7" ht="13.2" customHeight="1" x14ac:dyDescent="0.25">
      <c r="G792" s="5"/>
    </row>
    <row r="793" spans="7:7" ht="13.2" customHeight="1" x14ac:dyDescent="0.25">
      <c r="G793" s="5"/>
    </row>
    <row r="794" spans="7:7" ht="13.2" customHeight="1" x14ac:dyDescent="0.25">
      <c r="G794" s="5"/>
    </row>
    <row r="795" spans="7:7" ht="13.2" customHeight="1" x14ac:dyDescent="0.25">
      <c r="G795" s="5"/>
    </row>
    <row r="796" spans="7:7" ht="13.2" customHeight="1" x14ac:dyDescent="0.25">
      <c r="G796" s="5"/>
    </row>
    <row r="797" spans="7:7" ht="13.2" customHeight="1" x14ac:dyDescent="0.25">
      <c r="G797" s="5"/>
    </row>
    <row r="798" spans="7:7" ht="13.2" customHeight="1" x14ac:dyDescent="0.25">
      <c r="G798" s="5"/>
    </row>
    <row r="799" spans="7:7" ht="13.2" customHeight="1" x14ac:dyDescent="0.25">
      <c r="G799" s="5"/>
    </row>
    <row r="800" spans="7:7" ht="13.2" customHeight="1" x14ac:dyDescent="0.25">
      <c r="G800" s="5"/>
    </row>
    <row r="801" spans="7:7" ht="13.2" customHeight="1" x14ac:dyDescent="0.25">
      <c r="G801" s="5"/>
    </row>
    <row r="802" spans="7:7" ht="13.2" customHeight="1" x14ac:dyDescent="0.25">
      <c r="G802" s="5"/>
    </row>
    <row r="803" spans="7:7" ht="13.2" customHeight="1" x14ac:dyDescent="0.25">
      <c r="G803" s="5"/>
    </row>
    <row r="804" spans="7:7" ht="13.2" customHeight="1" x14ac:dyDescent="0.25">
      <c r="G804" s="5"/>
    </row>
    <row r="805" spans="7:7" ht="13.2" customHeight="1" x14ac:dyDescent="0.25">
      <c r="G805" s="5"/>
    </row>
    <row r="806" spans="7:7" ht="13.2" customHeight="1" x14ac:dyDescent="0.25">
      <c r="G806" s="5"/>
    </row>
    <row r="807" spans="7:7" ht="13.2" customHeight="1" x14ac:dyDescent="0.25">
      <c r="G807" s="5"/>
    </row>
    <row r="808" spans="7:7" ht="13.2" customHeight="1" x14ac:dyDescent="0.25">
      <c r="G808" s="5"/>
    </row>
    <row r="809" spans="7:7" ht="13.2" customHeight="1" x14ac:dyDescent="0.25">
      <c r="G809" s="5"/>
    </row>
    <row r="810" spans="7:7" ht="13.2" customHeight="1" x14ac:dyDescent="0.25">
      <c r="G810" s="5"/>
    </row>
    <row r="811" spans="7:7" ht="13.2" customHeight="1" x14ac:dyDescent="0.25">
      <c r="G811" s="5"/>
    </row>
    <row r="812" spans="7:7" ht="13.2" customHeight="1" x14ac:dyDescent="0.25">
      <c r="G812" s="5"/>
    </row>
    <row r="813" spans="7:7" ht="13.2" customHeight="1" x14ac:dyDescent="0.25">
      <c r="G813" s="5"/>
    </row>
    <row r="814" spans="7:7" ht="13.2" customHeight="1" x14ac:dyDescent="0.25">
      <c r="G814" s="5"/>
    </row>
    <row r="815" spans="7:7" ht="13.2" customHeight="1" x14ac:dyDescent="0.25">
      <c r="G815" s="5"/>
    </row>
    <row r="816" spans="7:7" ht="13.2" customHeight="1" x14ac:dyDescent="0.25">
      <c r="G816" s="5"/>
    </row>
    <row r="817" spans="7:7" ht="13.2" customHeight="1" x14ac:dyDescent="0.25">
      <c r="G817" s="5"/>
    </row>
    <row r="818" spans="7:7" ht="13.2" customHeight="1" x14ac:dyDescent="0.25">
      <c r="G818" s="5"/>
    </row>
    <row r="819" spans="7:7" ht="13.2" customHeight="1" x14ac:dyDescent="0.25">
      <c r="G819" s="5"/>
    </row>
    <row r="820" spans="7:7" ht="13.2" customHeight="1" x14ac:dyDescent="0.25">
      <c r="G820" s="5"/>
    </row>
    <row r="821" spans="7:7" ht="13.2" customHeight="1" x14ac:dyDescent="0.25">
      <c r="G821" s="5"/>
    </row>
    <row r="822" spans="7:7" ht="13.2" customHeight="1" x14ac:dyDescent="0.25">
      <c r="G822" s="5"/>
    </row>
    <row r="823" spans="7:7" ht="13.2" customHeight="1" x14ac:dyDescent="0.25">
      <c r="G823" s="5"/>
    </row>
    <row r="824" spans="7:7" ht="13.2" customHeight="1" x14ac:dyDescent="0.25">
      <c r="G824" s="5"/>
    </row>
    <row r="825" spans="7:7" ht="13.2" customHeight="1" x14ac:dyDescent="0.25">
      <c r="G825" s="5"/>
    </row>
    <row r="826" spans="7:7" ht="13.2" customHeight="1" x14ac:dyDescent="0.25">
      <c r="G826" s="5"/>
    </row>
    <row r="827" spans="7:7" ht="13.2" customHeight="1" x14ac:dyDescent="0.25">
      <c r="G827" s="5"/>
    </row>
    <row r="828" spans="7:7" ht="13.2" customHeight="1" x14ac:dyDescent="0.25">
      <c r="G828" s="5"/>
    </row>
    <row r="829" spans="7:7" ht="13.2" customHeight="1" x14ac:dyDescent="0.25">
      <c r="G829" s="5"/>
    </row>
    <row r="830" spans="7:7" ht="13.2" customHeight="1" x14ac:dyDescent="0.25">
      <c r="G830" s="5"/>
    </row>
    <row r="831" spans="7:7" ht="13.2" customHeight="1" x14ac:dyDescent="0.25">
      <c r="G831" s="5"/>
    </row>
    <row r="832" spans="7:7" ht="13.2" customHeight="1" x14ac:dyDescent="0.25">
      <c r="G832" s="5"/>
    </row>
    <row r="833" spans="7:7" ht="13.2" customHeight="1" x14ac:dyDescent="0.25">
      <c r="G833" s="5"/>
    </row>
    <row r="834" spans="7:7" ht="13.2" customHeight="1" x14ac:dyDescent="0.25">
      <c r="G834" s="5"/>
    </row>
    <row r="835" spans="7:7" ht="13.2" customHeight="1" x14ac:dyDescent="0.25">
      <c r="G835" s="5"/>
    </row>
    <row r="836" spans="7:7" ht="13.2" customHeight="1" x14ac:dyDescent="0.25">
      <c r="G836" s="5"/>
    </row>
    <row r="837" spans="7:7" ht="13.2" customHeight="1" x14ac:dyDescent="0.25">
      <c r="G837" s="5"/>
    </row>
    <row r="838" spans="7:7" ht="13.2" customHeight="1" x14ac:dyDescent="0.25">
      <c r="G838" s="5"/>
    </row>
    <row r="839" spans="7:7" ht="13.2" customHeight="1" x14ac:dyDescent="0.25">
      <c r="G839" s="5"/>
    </row>
    <row r="840" spans="7:7" ht="13.2" customHeight="1" x14ac:dyDescent="0.25">
      <c r="G840" s="5"/>
    </row>
    <row r="841" spans="7:7" ht="13.2" customHeight="1" x14ac:dyDescent="0.25">
      <c r="G841" s="5"/>
    </row>
    <row r="842" spans="7:7" ht="13.2" customHeight="1" x14ac:dyDescent="0.25">
      <c r="G842" s="5"/>
    </row>
    <row r="843" spans="7:7" ht="13.2" customHeight="1" x14ac:dyDescent="0.25">
      <c r="G843" s="5"/>
    </row>
    <row r="844" spans="7:7" ht="13.2" customHeight="1" x14ac:dyDescent="0.25">
      <c r="G844" s="5"/>
    </row>
    <row r="845" spans="7:7" ht="13.2" customHeight="1" x14ac:dyDescent="0.25">
      <c r="G845" s="5"/>
    </row>
    <row r="846" spans="7:7" ht="13.2" customHeight="1" x14ac:dyDescent="0.25">
      <c r="G846" s="5"/>
    </row>
    <row r="847" spans="7:7" ht="13.2" customHeight="1" x14ac:dyDescent="0.25">
      <c r="G847" s="5"/>
    </row>
    <row r="848" spans="7:7" ht="13.2" customHeight="1" x14ac:dyDescent="0.25">
      <c r="G848" s="5"/>
    </row>
    <row r="849" spans="7:7" ht="13.2" customHeight="1" x14ac:dyDescent="0.25">
      <c r="G849" s="5"/>
    </row>
    <row r="850" spans="7:7" ht="13.2" customHeight="1" x14ac:dyDescent="0.25">
      <c r="G850" s="5"/>
    </row>
    <row r="851" spans="7:7" ht="13.2" customHeight="1" x14ac:dyDescent="0.25">
      <c r="G851" s="5"/>
    </row>
    <row r="852" spans="7:7" ht="13.2" customHeight="1" x14ac:dyDescent="0.25">
      <c r="G852" s="5"/>
    </row>
    <row r="853" spans="7:7" ht="13.2" customHeight="1" x14ac:dyDescent="0.25">
      <c r="G853" s="5"/>
    </row>
    <row r="854" spans="7:7" ht="13.2" customHeight="1" x14ac:dyDescent="0.25">
      <c r="G854" s="5"/>
    </row>
    <row r="855" spans="7:7" ht="13.2" customHeight="1" x14ac:dyDescent="0.25">
      <c r="G855" s="5"/>
    </row>
    <row r="856" spans="7:7" ht="13.2" customHeight="1" x14ac:dyDescent="0.25">
      <c r="G856" s="5"/>
    </row>
    <row r="857" spans="7:7" ht="13.2" customHeight="1" x14ac:dyDescent="0.25">
      <c r="G857" s="5"/>
    </row>
    <row r="858" spans="7:7" ht="13.2" customHeight="1" x14ac:dyDescent="0.25">
      <c r="G858" s="5"/>
    </row>
    <row r="859" spans="7:7" ht="13.2" customHeight="1" x14ac:dyDescent="0.25">
      <c r="G859" s="5"/>
    </row>
    <row r="860" spans="7:7" ht="13.2" customHeight="1" x14ac:dyDescent="0.25">
      <c r="G860" s="5"/>
    </row>
    <row r="861" spans="7:7" ht="13.2" customHeight="1" x14ac:dyDescent="0.25">
      <c r="G861" s="5"/>
    </row>
    <row r="862" spans="7:7" ht="13.2" customHeight="1" x14ac:dyDescent="0.25">
      <c r="G862" s="5"/>
    </row>
    <row r="863" spans="7:7" ht="13.2" customHeight="1" x14ac:dyDescent="0.25">
      <c r="G863" s="5"/>
    </row>
    <row r="864" spans="7:7" ht="13.2" customHeight="1" x14ac:dyDescent="0.25">
      <c r="G864" s="5"/>
    </row>
    <row r="865" spans="7:7" ht="13.2" customHeight="1" x14ac:dyDescent="0.25">
      <c r="G865" s="5"/>
    </row>
    <row r="866" spans="7:7" ht="13.2" customHeight="1" x14ac:dyDescent="0.25">
      <c r="G866" s="5"/>
    </row>
    <row r="867" spans="7:7" ht="13.2" customHeight="1" x14ac:dyDescent="0.25">
      <c r="G867" s="5"/>
    </row>
    <row r="868" spans="7:7" ht="13.2" customHeight="1" x14ac:dyDescent="0.25">
      <c r="G868" s="5"/>
    </row>
    <row r="869" spans="7:7" ht="13.2" customHeight="1" x14ac:dyDescent="0.25">
      <c r="G869" s="5"/>
    </row>
    <row r="870" spans="7:7" ht="13.2" customHeight="1" x14ac:dyDescent="0.25">
      <c r="G870" s="5"/>
    </row>
    <row r="871" spans="7:7" ht="13.2" customHeight="1" x14ac:dyDescent="0.25">
      <c r="G871" s="5"/>
    </row>
    <row r="872" spans="7:7" ht="13.2" customHeight="1" x14ac:dyDescent="0.25">
      <c r="G872" s="5"/>
    </row>
    <row r="873" spans="7:7" ht="13.2" customHeight="1" x14ac:dyDescent="0.25">
      <c r="G873" s="5"/>
    </row>
    <row r="874" spans="7:7" ht="13.2" customHeight="1" x14ac:dyDescent="0.25">
      <c r="G874" s="5"/>
    </row>
    <row r="875" spans="7:7" ht="13.2" customHeight="1" x14ac:dyDescent="0.25">
      <c r="G875" s="5"/>
    </row>
    <row r="876" spans="7:7" ht="13.2" customHeight="1" x14ac:dyDescent="0.25">
      <c r="G876" s="5"/>
    </row>
    <row r="877" spans="7:7" ht="13.2" customHeight="1" x14ac:dyDescent="0.25">
      <c r="G877" s="5"/>
    </row>
    <row r="878" spans="7:7" ht="13.2" customHeight="1" x14ac:dyDescent="0.25">
      <c r="G878" s="5"/>
    </row>
    <row r="879" spans="7:7" ht="13.2" customHeight="1" x14ac:dyDescent="0.25">
      <c r="G879" s="5"/>
    </row>
    <row r="880" spans="7:7" ht="13.2" customHeight="1" x14ac:dyDescent="0.25">
      <c r="G880" s="5"/>
    </row>
    <row r="881" spans="7:7" ht="13.2" customHeight="1" x14ac:dyDescent="0.25">
      <c r="G881" s="5"/>
    </row>
    <row r="882" spans="7:7" ht="13.2" customHeight="1" x14ac:dyDescent="0.25">
      <c r="G882" s="5"/>
    </row>
    <row r="883" spans="7:7" ht="13.2" customHeight="1" x14ac:dyDescent="0.25">
      <c r="G883" s="5"/>
    </row>
    <row r="884" spans="7:7" ht="13.2" customHeight="1" x14ac:dyDescent="0.25">
      <c r="G884" s="5"/>
    </row>
    <row r="885" spans="7:7" ht="13.2" customHeight="1" x14ac:dyDescent="0.25">
      <c r="G885" s="5"/>
    </row>
    <row r="886" spans="7:7" ht="13.2" customHeight="1" x14ac:dyDescent="0.25">
      <c r="G886" s="5"/>
    </row>
    <row r="887" spans="7:7" ht="13.2" customHeight="1" x14ac:dyDescent="0.25">
      <c r="G887" s="5"/>
    </row>
    <row r="888" spans="7:7" ht="13.2" customHeight="1" x14ac:dyDescent="0.25">
      <c r="G888" s="5"/>
    </row>
    <row r="889" spans="7:7" ht="13.2" customHeight="1" x14ac:dyDescent="0.25">
      <c r="G889" s="5"/>
    </row>
    <row r="890" spans="7:7" ht="13.2" customHeight="1" x14ac:dyDescent="0.25">
      <c r="G890" s="5"/>
    </row>
    <row r="891" spans="7:7" ht="13.2" customHeight="1" x14ac:dyDescent="0.25">
      <c r="G891" s="5"/>
    </row>
    <row r="892" spans="7:7" ht="13.2" customHeight="1" x14ac:dyDescent="0.25">
      <c r="G892" s="5"/>
    </row>
    <row r="893" spans="7:7" ht="13.2" customHeight="1" x14ac:dyDescent="0.25">
      <c r="G893" s="5"/>
    </row>
    <row r="894" spans="7:7" ht="13.2" customHeight="1" x14ac:dyDescent="0.25">
      <c r="G894" s="5"/>
    </row>
    <row r="895" spans="7:7" ht="13.2" customHeight="1" x14ac:dyDescent="0.25">
      <c r="G895" s="5"/>
    </row>
    <row r="896" spans="7:7" ht="13.2" customHeight="1" x14ac:dyDescent="0.25">
      <c r="G896" s="5"/>
    </row>
    <row r="897" spans="7:7" ht="13.2" customHeight="1" x14ac:dyDescent="0.25">
      <c r="G897" s="5"/>
    </row>
    <row r="898" spans="7:7" ht="13.2" customHeight="1" x14ac:dyDescent="0.25">
      <c r="G898" s="5"/>
    </row>
    <row r="899" spans="7:7" ht="13.2" customHeight="1" x14ac:dyDescent="0.25">
      <c r="G899" s="5"/>
    </row>
    <row r="900" spans="7:7" ht="13.2" customHeight="1" x14ac:dyDescent="0.25">
      <c r="G900" s="5"/>
    </row>
    <row r="901" spans="7:7" ht="13.2" customHeight="1" x14ac:dyDescent="0.25">
      <c r="G901" s="5"/>
    </row>
    <row r="902" spans="7:7" ht="13.2" customHeight="1" x14ac:dyDescent="0.25">
      <c r="G902" s="5"/>
    </row>
    <row r="903" spans="7:7" ht="13.2" customHeight="1" x14ac:dyDescent="0.25">
      <c r="G903" s="5"/>
    </row>
    <row r="904" spans="7:7" ht="13.2" customHeight="1" x14ac:dyDescent="0.25">
      <c r="G904" s="5"/>
    </row>
    <row r="905" spans="7:7" ht="13.2" customHeight="1" x14ac:dyDescent="0.25">
      <c r="G905" s="5"/>
    </row>
    <row r="906" spans="7:7" ht="13.2" customHeight="1" x14ac:dyDescent="0.25">
      <c r="G906" s="5"/>
    </row>
    <row r="907" spans="7:7" ht="13.2" customHeight="1" x14ac:dyDescent="0.25">
      <c r="G907" s="5"/>
    </row>
    <row r="908" spans="7:7" ht="13.2" customHeight="1" x14ac:dyDescent="0.25">
      <c r="G908" s="5"/>
    </row>
    <row r="909" spans="7:7" ht="13.2" customHeight="1" x14ac:dyDescent="0.25">
      <c r="G909" s="5"/>
    </row>
    <row r="910" spans="7:7" ht="13.2" customHeight="1" x14ac:dyDescent="0.25">
      <c r="G910" s="5"/>
    </row>
    <row r="911" spans="7:7" ht="13.2" customHeight="1" x14ac:dyDescent="0.25">
      <c r="G911" s="5"/>
    </row>
    <row r="912" spans="7:7" ht="13.2" customHeight="1" x14ac:dyDescent="0.25">
      <c r="G912" s="5"/>
    </row>
    <row r="913" spans="7:7" ht="13.2" customHeight="1" x14ac:dyDescent="0.25">
      <c r="G913" s="5"/>
    </row>
    <row r="914" spans="7:7" ht="13.2" customHeight="1" x14ac:dyDescent="0.25">
      <c r="G914" s="5"/>
    </row>
    <row r="915" spans="7:7" ht="13.2" customHeight="1" x14ac:dyDescent="0.25">
      <c r="G915" s="5"/>
    </row>
    <row r="916" spans="7:7" ht="13.2" customHeight="1" x14ac:dyDescent="0.25">
      <c r="G916" s="5"/>
    </row>
    <row r="917" spans="7:7" ht="13.2" customHeight="1" x14ac:dyDescent="0.25">
      <c r="G917" s="5"/>
    </row>
    <row r="918" spans="7:7" ht="13.2" customHeight="1" x14ac:dyDescent="0.25">
      <c r="G918" s="5"/>
    </row>
    <row r="919" spans="7:7" ht="13.2" customHeight="1" x14ac:dyDescent="0.25">
      <c r="G919" s="5"/>
    </row>
    <row r="920" spans="7:7" ht="13.2" customHeight="1" x14ac:dyDescent="0.25">
      <c r="G920" s="5"/>
    </row>
    <row r="921" spans="7:7" ht="13.2" customHeight="1" x14ac:dyDescent="0.25">
      <c r="G921" s="5"/>
    </row>
    <row r="922" spans="7:7" ht="13.2" customHeight="1" x14ac:dyDescent="0.25">
      <c r="G922" s="5"/>
    </row>
    <row r="923" spans="7:7" ht="13.2" customHeight="1" x14ac:dyDescent="0.25">
      <c r="G923" s="5"/>
    </row>
    <row r="924" spans="7:7" ht="13.2" customHeight="1" x14ac:dyDescent="0.25">
      <c r="G924" s="5"/>
    </row>
    <row r="925" spans="7:7" ht="13.2" customHeight="1" x14ac:dyDescent="0.25">
      <c r="G925" s="5"/>
    </row>
    <row r="926" spans="7:7" ht="13.2" customHeight="1" x14ac:dyDescent="0.25">
      <c r="G926" s="5"/>
    </row>
    <row r="927" spans="7:7" ht="13.2" customHeight="1" x14ac:dyDescent="0.25">
      <c r="G927" s="5"/>
    </row>
    <row r="928" spans="7:7" ht="13.2" customHeight="1" x14ac:dyDescent="0.25">
      <c r="G928" s="5"/>
    </row>
    <row r="929" spans="7:7" ht="13.2" customHeight="1" x14ac:dyDescent="0.25">
      <c r="G929" s="5"/>
    </row>
    <row r="930" spans="7:7" ht="13.2" customHeight="1" x14ac:dyDescent="0.25">
      <c r="G930" s="5"/>
    </row>
    <row r="931" spans="7:7" ht="13.2" customHeight="1" x14ac:dyDescent="0.25">
      <c r="G931" s="5"/>
    </row>
    <row r="932" spans="7:7" ht="13.2" customHeight="1" x14ac:dyDescent="0.25">
      <c r="G932" s="5"/>
    </row>
    <row r="933" spans="7:7" ht="13.2" customHeight="1" x14ac:dyDescent="0.25">
      <c r="G933" s="5"/>
    </row>
    <row r="934" spans="7:7" ht="13.2" customHeight="1" x14ac:dyDescent="0.25">
      <c r="G934" s="5"/>
    </row>
    <row r="935" spans="7:7" ht="13.2" customHeight="1" x14ac:dyDescent="0.25">
      <c r="G935" s="5"/>
    </row>
    <row r="936" spans="7:7" ht="13.2" customHeight="1" x14ac:dyDescent="0.25">
      <c r="G936" s="5"/>
    </row>
    <row r="937" spans="7:7" ht="13.2" customHeight="1" x14ac:dyDescent="0.25">
      <c r="G937" s="5"/>
    </row>
    <row r="938" spans="7:7" ht="13.2" customHeight="1" x14ac:dyDescent="0.25">
      <c r="G938" s="5"/>
    </row>
    <row r="939" spans="7:7" ht="13.2" customHeight="1" x14ac:dyDescent="0.25">
      <c r="G939" s="5"/>
    </row>
    <row r="940" spans="7:7" ht="13.2" customHeight="1" x14ac:dyDescent="0.25">
      <c r="G940" s="5"/>
    </row>
    <row r="941" spans="7:7" ht="13.2" customHeight="1" x14ac:dyDescent="0.25">
      <c r="G941" s="5"/>
    </row>
    <row r="942" spans="7:7" ht="13.2" customHeight="1" x14ac:dyDescent="0.25">
      <c r="G942" s="5"/>
    </row>
    <row r="943" spans="7:7" ht="13.2" customHeight="1" x14ac:dyDescent="0.25">
      <c r="G943" s="5"/>
    </row>
    <row r="944" spans="7:7" ht="13.2" customHeight="1" x14ac:dyDescent="0.25">
      <c r="G944" s="5"/>
    </row>
    <row r="945" spans="7:7" ht="13.2" customHeight="1" x14ac:dyDescent="0.25">
      <c r="G945" s="5"/>
    </row>
    <row r="946" spans="7:7" ht="13.2" customHeight="1" x14ac:dyDescent="0.25">
      <c r="G946" s="5"/>
    </row>
    <row r="947" spans="7:7" ht="13.2" customHeight="1" x14ac:dyDescent="0.25">
      <c r="G947" s="5"/>
    </row>
    <row r="948" spans="7:7" ht="13.2" customHeight="1" x14ac:dyDescent="0.25">
      <c r="G948" s="5"/>
    </row>
    <row r="949" spans="7:7" ht="13.2" customHeight="1" x14ac:dyDescent="0.25">
      <c r="G949" s="5"/>
    </row>
    <row r="950" spans="7:7" ht="13.2" customHeight="1" x14ac:dyDescent="0.25">
      <c r="G950" s="5"/>
    </row>
    <row r="951" spans="7:7" ht="13.2" customHeight="1" x14ac:dyDescent="0.25">
      <c r="G951" s="5"/>
    </row>
    <row r="952" spans="7:7" ht="13.2" customHeight="1" x14ac:dyDescent="0.25">
      <c r="G952" s="5"/>
    </row>
    <row r="953" spans="7:7" ht="13.2" customHeight="1" x14ac:dyDescent="0.25">
      <c r="G953" s="5"/>
    </row>
    <row r="954" spans="7:7" ht="13.2" customHeight="1" x14ac:dyDescent="0.25">
      <c r="G954" s="5"/>
    </row>
    <row r="955" spans="7:7" ht="13.2" customHeight="1" x14ac:dyDescent="0.25">
      <c r="G955" s="5"/>
    </row>
    <row r="956" spans="7:7" ht="13.2" customHeight="1" x14ac:dyDescent="0.25">
      <c r="G956" s="5"/>
    </row>
    <row r="957" spans="7:7" ht="13.2" customHeight="1" x14ac:dyDescent="0.25">
      <c r="G957" s="5"/>
    </row>
    <row r="958" spans="7:7" ht="13.2" customHeight="1" x14ac:dyDescent="0.25">
      <c r="G958" s="5"/>
    </row>
    <row r="959" spans="7:7" ht="13.2" customHeight="1" x14ac:dyDescent="0.25">
      <c r="G959" s="5"/>
    </row>
    <row r="960" spans="7:7" ht="13.2" customHeight="1" x14ac:dyDescent="0.25">
      <c r="G960" s="5"/>
    </row>
    <row r="961" spans="7:7" ht="13.2" customHeight="1" x14ac:dyDescent="0.25">
      <c r="G961" s="5"/>
    </row>
    <row r="962" spans="7:7" ht="13.2" customHeight="1" x14ac:dyDescent="0.25">
      <c r="G962" s="5"/>
    </row>
    <row r="963" spans="7:7" ht="13.2" customHeight="1" x14ac:dyDescent="0.25">
      <c r="G963" s="5"/>
    </row>
    <row r="964" spans="7:7" ht="13.2" customHeight="1" x14ac:dyDescent="0.25">
      <c r="G964" s="5"/>
    </row>
    <row r="965" spans="7:7" ht="13.2" customHeight="1" x14ac:dyDescent="0.25">
      <c r="G965" s="5"/>
    </row>
    <row r="966" spans="7:7" ht="13.2" customHeight="1" x14ac:dyDescent="0.25">
      <c r="G966" s="5"/>
    </row>
    <row r="967" spans="7:7" ht="13.2" customHeight="1" x14ac:dyDescent="0.25">
      <c r="G967" s="5"/>
    </row>
    <row r="968" spans="7:7" ht="13.2" customHeight="1" x14ac:dyDescent="0.25">
      <c r="G968" s="5"/>
    </row>
    <row r="969" spans="7:7" ht="13.2" customHeight="1" x14ac:dyDescent="0.25">
      <c r="G969" s="5"/>
    </row>
    <row r="970" spans="7:7" ht="13.2" customHeight="1" x14ac:dyDescent="0.25">
      <c r="G970" s="5"/>
    </row>
    <row r="971" spans="7:7" ht="13.2" customHeight="1" x14ac:dyDescent="0.25">
      <c r="G971" s="5"/>
    </row>
    <row r="972" spans="7:7" ht="13.2" customHeight="1" x14ac:dyDescent="0.25">
      <c r="G972" s="5"/>
    </row>
    <row r="973" spans="7:7" ht="13.2" customHeight="1" x14ac:dyDescent="0.25">
      <c r="G973" s="5"/>
    </row>
    <row r="974" spans="7:7" ht="13.2" customHeight="1" x14ac:dyDescent="0.25">
      <c r="G974" s="5"/>
    </row>
    <row r="975" spans="7:7" ht="13.2" customHeight="1" x14ac:dyDescent="0.25">
      <c r="G975" s="5"/>
    </row>
    <row r="976" spans="7:7" ht="13.2" customHeight="1" x14ac:dyDescent="0.25">
      <c r="G976" s="5"/>
    </row>
    <row r="977" spans="7:7" ht="13.2" customHeight="1" x14ac:dyDescent="0.25">
      <c r="G977" s="5"/>
    </row>
    <row r="978" spans="7:7" ht="13.2" customHeight="1" x14ac:dyDescent="0.25">
      <c r="G978" s="5"/>
    </row>
    <row r="979" spans="7:7" ht="13.2" customHeight="1" x14ac:dyDescent="0.25">
      <c r="G979" s="5"/>
    </row>
    <row r="980" spans="7:7" ht="13.2" customHeight="1" x14ac:dyDescent="0.25">
      <c r="G980" s="5"/>
    </row>
    <row r="981" spans="7:7" ht="13.2" customHeight="1" x14ac:dyDescent="0.25">
      <c r="G981" s="5"/>
    </row>
    <row r="982" spans="7:7" ht="13.2" customHeight="1" x14ac:dyDescent="0.25">
      <c r="G982" s="5"/>
    </row>
    <row r="983" spans="7:7" ht="13.2" customHeight="1" x14ac:dyDescent="0.25">
      <c r="G983" s="5"/>
    </row>
    <row r="984" spans="7:7" ht="13.2" customHeight="1" x14ac:dyDescent="0.25">
      <c r="G984" s="5"/>
    </row>
    <row r="985" spans="7:7" ht="13.2" customHeight="1" x14ac:dyDescent="0.25">
      <c r="G985" s="5"/>
    </row>
    <row r="986" spans="7:7" ht="13.2" customHeight="1" x14ac:dyDescent="0.25">
      <c r="G986" s="5"/>
    </row>
    <row r="987" spans="7:7" ht="13.2" customHeight="1" x14ac:dyDescent="0.25">
      <c r="G987" s="5"/>
    </row>
    <row r="988" spans="7:7" ht="13.2" customHeight="1" x14ac:dyDescent="0.25">
      <c r="G988" s="5"/>
    </row>
    <row r="989" spans="7:7" ht="13.2" customHeight="1" x14ac:dyDescent="0.25">
      <c r="G989" s="5"/>
    </row>
    <row r="990" spans="7:7" ht="13.2" customHeight="1" x14ac:dyDescent="0.25">
      <c r="G990" s="5"/>
    </row>
    <row r="991" spans="7:7" ht="13.2" customHeight="1" x14ac:dyDescent="0.25">
      <c r="G991" s="5"/>
    </row>
    <row r="992" spans="7:7" ht="13.2" customHeight="1" x14ac:dyDescent="0.25">
      <c r="G992" s="5"/>
    </row>
    <row r="993" spans="7:7" ht="13.2" customHeight="1" x14ac:dyDescent="0.25">
      <c r="G993" s="5"/>
    </row>
    <row r="994" spans="7:7" ht="13.2" customHeight="1" x14ac:dyDescent="0.25">
      <c r="G994" s="5"/>
    </row>
    <row r="995" spans="7:7" ht="13.2" customHeight="1" x14ac:dyDescent="0.25">
      <c r="G995" s="5"/>
    </row>
    <row r="996" spans="7:7" ht="13.2" customHeight="1" x14ac:dyDescent="0.25">
      <c r="G996" s="5"/>
    </row>
    <row r="997" spans="7:7" ht="13.2" customHeight="1" x14ac:dyDescent="0.25">
      <c r="G997" s="5"/>
    </row>
    <row r="998" spans="7:7" ht="13.2" customHeight="1" x14ac:dyDescent="0.25">
      <c r="G998" s="5"/>
    </row>
    <row r="999" spans="7:7" ht="13.2" customHeight="1" x14ac:dyDescent="0.25">
      <c r="G999" s="5"/>
    </row>
    <row r="1000" spans="7:7" ht="13.2" customHeight="1" x14ac:dyDescent="0.25">
      <c r="G1000" s="5"/>
    </row>
    <row r="1001" spans="7:7" ht="13.2" customHeight="1" x14ac:dyDescent="0.25">
      <c r="G1001" s="5"/>
    </row>
    <row r="1002" spans="7:7" ht="13.2" customHeight="1" x14ac:dyDescent="0.25">
      <c r="G1002" s="5"/>
    </row>
  </sheetData>
  <hyperlinks>
    <hyperlink ref="A2" r:id="rId1" xr:uid="{00000000-0004-0000-0100-000000000000}"/>
    <hyperlink ref="A3" r:id="rId2" xr:uid="{00000000-0004-0000-0100-000001000000}"/>
    <hyperlink ref="A4" r:id="rId3" location="Abs1" xr:uid="{00000000-0004-0000-0100-000002000000}"/>
    <hyperlink ref="A5" r:id="rId4" location="content" xr:uid="{00000000-0004-0000-0100-000003000000}"/>
    <hyperlink ref="A6" r:id="rId5" xr:uid="{00000000-0004-0000-0100-000004000000}"/>
    <hyperlink ref="A7" r:id="rId6" xr:uid="{00000000-0004-0000-0100-000005000000}"/>
    <hyperlink ref="A8" r:id="rId7" xr:uid="{00000000-0004-0000-0100-000006000000}"/>
    <hyperlink ref="A9" r:id="rId8" xr:uid="{00000000-0004-0000-0100-000007000000}"/>
    <hyperlink ref="A10" r:id="rId9" location="content" xr:uid="{00000000-0004-0000-0100-000008000000}"/>
    <hyperlink ref="A11" r:id="rId10" xr:uid="{00000000-0004-0000-0100-00000A000000}"/>
    <hyperlink ref="A12" r:id="rId11" xr:uid="{00000000-0004-0000-0100-00000B000000}"/>
    <hyperlink ref="A13" r:id="rId12" xr:uid="{00000000-0004-0000-0100-00000C000000}"/>
    <hyperlink ref="A14" r:id="rId13" location="Abs2" xr:uid="{00000000-0004-0000-0100-00000D000000}"/>
    <hyperlink ref="A16" r:id="rId14" location="content" xr:uid="{00000000-0004-0000-0100-00000F000000}"/>
    <hyperlink ref="A17" r:id="rId15" xr:uid="{00000000-0004-0000-0100-000010000000}"/>
    <hyperlink ref="A18" r:id="rId16" location="Abs1" xr:uid="{00000000-0004-0000-0100-000011000000}"/>
    <hyperlink ref="A19" r:id="rId17" xr:uid="{00000000-0004-0000-0100-000012000000}"/>
    <hyperlink ref="A20" r:id="rId18" location="abs0020" xr:uid="{00000000-0004-0000-0100-000013000000}"/>
    <hyperlink ref="A22" r:id="rId19" xr:uid="{00000000-0004-0000-0100-000015000000}"/>
    <hyperlink ref="A23" r:id="rId20" xr:uid="{00000000-0004-0000-0100-000016000000}"/>
    <hyperlink ref="A24" r:id="rId21" location="Abs1" xr:uid="{00000000-0004-0000-0100-000017000000}"/>
    <hyperlink ref="A26" r:id="rId22" xr:uid="{00000000-0004-0000-0100-000019000000}"/>
    <hyperlink ref="A21" r:id="rId23" location="abs0020" xr:uid="{00000000-0004-0000-0000-00001B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38"/>
  <sheetViews>
    <sheetView tabSelected="1" workbookViewId="0">
      <pane ySplit="1" topLeftCell="A2" activePane="bottomLeft" state="frozen"/>
      <selection activeCell="G30" sqref="G30"/>
      <selection pane="bottomLeft" activeCell="C30" sqref="C30"/>
    </sheetView>
  </sheetViews>
  <sheetFormatPr defaultColWidth="12.6640625" defaultRowHeight="15.75" customHeight="1" x14ac:dyDescent="0.25"/>
  <cols>
    <col min="1" max="1" width="37.21875" bestFit="1" customWidth="1"/>
    <col min="2" max="2" width="13.6640625" customWidth="1"/>
  </cols>
  <sheetData>
    <row r="1" spans="1:4" ht="13.2" customHeight="1" x14ac:dyDescent="0.25">
      <c r="A1" s="7" t="s">
        <v>0</v>
      </c>
      <c r="B1" s="7" t="s">
        <v>211</v>
      </c>
      <c r="C1" s="7" t="s">
        <v>6</v>
      </c>
      <c r="D1" s="1"/>
    </row>
    <row r="2" spans="1:4" ht="15.75" customHeight="1" x14ac:dyDescent="0.25">
      <c r="A2" s="10" t="s">
        <v>285</v>
      </c>
      <c r="B2" s="14" t="s">
        <v>90</v>
      </c>
      <c r="C2" s="14" t="s">
        <v>130</v>
      </c>
    </row>
    <row r="3" spans="1:4" ht="15.75" customHeight="1" x14ac:dyDescent="0.25">
      <c r="A3" s="10" t="s">
        <v>212</v>
      </c>
      <c r="B3" s="14" t="s">
        <v>90</v>
      </c>
      <c r="C3" s="14" t="s">
        <v>130</v>
      </c>
    </row>
    <row r="4" spans="1:4" ht="15.75" customHeight="1" x14ac:dyDescent="0.25">
      <c r="A4" s="8" t="s">
        <v>213</v>
      </c>
      <c r="B4" s="14" t="s">
        <v>90</v>
      </c>
      <c r="C4" s="14" t="s">
        <v>168</v>
      </c>
    </row>
    <row r="5" spans="1:4" ht="15.75" customHeight="1" x14ac:dyDescent="0.25">
      <c r="A5" s="8" t="s">
        <v>214</v>
      </c>
      <c r="B5" s="14" t="s">
        <v>90</v>
      </c>
      <c r="C5" s="14" t="s">
        <v>168</v>
      </c>
    </row>
    <row r="6" spans="1:4" ht="15.75" customHeight="1" x14ac:dyDescent="0.25">
      <c r="A6" s="8" t="s">
        <v>215</v>
      </c>
      <c r="B6" s="14" t="s">
        <v>90</v>
      </c>
      <c r="C6" s="14" t="s">
        <v>138</v>
      </c>
    </row>
    <row r="7" spans="1:4" ht="15.75" customHeight="1" x14ac:dyDescent="0.25">
      <c r="A7" s="8" t="s">
        <v>216</v>
      </c>
      <c r="B7" s="14" t="s">
        <v>90</v>
      </c>
      <c r="C7" s="14" t="s">
        <v>138</v>
      </c>
    </row>
    <row r="8" spans="1:4" ht="15.75" customHeight="1" x14ac:dyDescent="0.25">
      <c r="A8" s="8" t="s">
        <v>217</v>
      </c>
      <c r="B8" s="14" t="s">
        <v>90</v>
      </c>
      <c r="C8" s="14" t="s">
        <v>144</v>
      </c>
    </row>
    <row r="9" spans="1:4" ht="15.75" customHeight="1" x14ac:dyDescent="0.25">
      <c r="A9" s="8" t="s">
        <v>218</v>
      </c>
      <c r="B9" s="14" t="s">
        <v>90</v>
      </c>
      <c r="C9" s="14" t="s">
        <v>144</v>
      </c>
    </row>
    <row r="10" spans="1:4" ht="15.75" customHeight="1" x14ac:dyDescent="0.25">
      <c r="A10" s="8" t="s">
        <v>219</v>
      </c>
      <c r="B10" s="14" t="s">
        <v>90</v>
      </c>
      <c r="C10" s="14" t="s">
        <v>149</v>
      </c>
    </row>
    <row r="11" spans="1:4" ht="15.75" customHeight="1" x14ac:dyDescent="0.25">
      <c r="A11" s="8" t="s">
        <v>220</v>
      </c>
      <c r="B11" s="14" t="s">
        <v>90</v>
      </c>
      <c r="C11" s="8" t="s">
        <v>149</v>
      </c>
    </row>
    <row r="12" spans="1:4" ht="15.75" customHeight="1" x14ac:dyDescent="0.25">
      <c r="A12" s="8" t="s">
        <v>156</v>
      </c>
      <c r="B12" s="14" t="s">
        <v>90</v>
      </c>
      <c r="C12" s="8" t="s">
        <v>155</v>
      </c>
    </row>
    <row r="13" spans="1:4" ht="15.75" customHeight="1" x14ac:dyDescent="0.25">
      <c r="A13" s="8" t="s">
        <v>221</v>
      </c>
      <c r="B13" s="14" t="s">
        <v>90</v>
      </c>
      <c r="C13" s="8" t="s">
        <v>138</v>
      </c>
    </row>
    <row r="14" spans="1:4" ht="15.75" customHeight="1" x14ac:dyDescent="0.25">
      <c r="A14" s="8" t="s">
        <v>222</v>
      </c>
      <c r="B14" s="14" t="s">
        <v>90</v>
      </c>
      <c r="C14" s="8" t="s">
        <v>138</v>
      </c>
    </row>
    <row r="15" spans="1:4" ht="15.75" customHeight="1" x14ac:dyDescent="0.25">
      <c r="A15" s="8" t="s">
        <v>223</v>
      </c>
      <c r="B15" s="14" t="s">
        <v>90</v>
      </c>
      <c r="C15" s="8" t="s">
        <v>164</v>
      </c>
    </row>
    <row r="16" spans="1:4" ht="15.75" customHeight="1" x14ac:dyDescent="0.25">
      <c r="A16" s="8" t="s">
        <v>224</v>
      </c>
      <c r="B16" s="8" t="s">
        <v>133</v>
      </c>
      <c r="C16" s="8" t="s">
        <v>164</v>
      </c>
    </row>
    <row r="17" spans="1:3" ht="15.75" customHeight="1" x14ac:dyDescent="0.25">
      <c r="A17" s="8" t="s">
        <v>225</v>
      </c>
      <c r="B17" s="14" t="s">
        <v>90</v>
      </c>
      <c r="C17" s="8" t="s">
        <v>202</v>
      </c>
    </row>
    <row r="18" spans="1:3" ht="15.75" customHeight="1" x14ac:dyDescent="0.25">
      <c r="A18" s="8" t="s">
        <v>226</v>
      </c>
      <c r="B18" s="14" t="s">
        <v>90</v>
      </c>
      <c r="C18" s="8" t="s">
        <v>202</v>
      </c>
    </row>
    <row r="19" spans="1:3" ht="15.75" customHeight="1" x14ac:dyDescent="0.25">
      <c r="A19" s="8" t="s">
        <v>227</v>
      </c>
      <c r="B19" s="14" t="s">
        <v>90</v>
      </c>
      <c r="C19" s="8" t="s">
        <v>202</v>
      </c>
    </row>
    <row r="20" spans="1:3" ht="15.75" customHeight="1" x14ac:dyDescent="0.25">
      <c r="A20" s="8" t="s">
        <v>228</v>
      </c>
      <c r="B20" s="14" t="s">
        <v>90</v>
      </c>
      <c r="C20" s="8" t="s">
        <v>174</v>
      </c>
    </row>
    <row r="21" spans="1:3" ht="15.75" customHeight="1" x14ac:dyDescent="0.25">
      <c r="A21" s="8" t="s">
        <v>229</v>
      </c>
      <c r="B21" s="14" t="s">
        <v>90</v>
      </c>
      <c r="C21" s="8" t="s">
        <v>174</v>
      </c>
    </row>
    <row r="22" spans="1:3" ht="15.75" customHeight="1" x14ac:dyDescent="0.25">
      <c r="A22" s="8" t="s">
        <v>182</v>
      </c>
      <c r="B22" s="14" t="s">
        <v>90</v>
      </c>
      <c r="C22" s="8" t="s">
        <v>181</v>
      </c>
    </row>
    <row r="23" spans="1:3" ht="15.75" customHeight="1" x14ac:dyDescent="0.25">
      <c r="A23" s="8" t="s">
        <v>188</v>
      </c>
      <c r="B23" s="14" t="s">
        <v>90</v>
      </c>
      <c r="C23" s="26" t="s">
        <v>291</v>
      </c>
    </row>
    <row r="24" spans="1:3" ht="15.75" customHeight="1" x14ac:dyDescent="0.25">
      <c r="A24" s="8" t="s">
        <v>186</v>
      </c>
      <c r="B24" s="14" t="s">
        <v>90</v>
      </c>
      <c r="C24" s="8" t="s">
        <v>185</v>
      </c>
    </row>
    <row r="25" spans="1:3" ht="15.75" customHeight="1" x14ac:dyDescent="0.25">
      <c r="A25" s="8" t="s">
        <v>230</v>
      </c>
      <c r="B25" s="14" t="s">
        <v>90</v>
      </c>
      <c r="C25" s="8" t="s">
        <v>198</v>
      </c>
    </row>
    <row r="26" spans="1:3" ht="15.75" customHeight="1" x14ac:dyDescent="0.25">
      <c r="A26" s="8" t="s">
        <v>231</v>
      </c>
      <c r="B26" s="14" t="s">
        <v>90</v>
      </c>
      <c r="C26" s="8" t="s">
        <v>198</v>
      </c>
    </row>
    <row r="27" spans="1:3" ht="15.75" customHeight="1" x14ac:dyDescent="0.25">
      <c r="A27" s="8" t="s">
        <v>195</v>
      </c>
      <c r="B27" s="14" t="s">
        <v>90</v>
      </c>
      <c r="C27" s="8" t="s">
        <v>194</v>
      </c>
    </row>
    <row r="28" spans="1:3" ht="15.75" customHeight="1" x14ac:dyDescent="0.25">
      <c r="A28" s="8" t="s">
        <v>232</v>
      </c>
      <c r="B28" s="14" t="s">
        <v>90</v>
      </c>
      <c r="C28" s="8" t="s">
        <v>301</v>
      </c>
    </row>
    <row r="29" spans="1:3" ht="15.75" customHeight="1" x14ac:dyDescent="0.25">
      <c r="A29" s="8" t="s">
        <v>233</v>
      </c>
      <c r="B29" s="14" t="s">
        <v>90</v>
      </c>
      <c r="C29" s="8" t="s">
        <v>301</v>
      </c>
    </row>
    <row r="30" spans="1:3" ht="15.75" customHeight="1" x14ac:dyDescent="0.25">
      <c r="A30" s="8" t="s">
        <v>234</v>
      </c>
      <c r="B30" s="14" t="s">
        <v>90</v>
      </c>
      <c r="C30" s="8" t="s">
        <v>207</v>
      </c>
    </row>
    <row r="31" spans="1:3" ht="15.75" customHeight="1" x14ac:dyDescent="0.25">
      <c r="A31" s="8" t="s">
        <v>235</v>
      </c>
      <c r="B31" s="14" t="s">
        <v>90</v>
      </c>
      <c r="C31" s="8" t="s">
        <v>207</v>
      </c>
    </row>
    <row r="32" spans="1:3" ht="15.75" customHeight="1" x14ac:dyDescent="0.25">
      <c r="A32" s="8" t="s">
        <v>236</v>
      </c>
      <c r="B32" s="14" t="s">
        <v>90</v>
      </c>
      <c r="C32" s="8" t="s">
        <v>207</v>
      </c>
    </row>
    <row r="33" spans="1:3" ht="15.75" customHeight="1" x14ac:dyDescent="0.25">
      <c r="A33" s="8" t="s">
        <v>237</v>
      </c>
      <c r="B33" s="14" t="s">
        <v>90</v>
      </c>
      <c r="C33" s="8" t="s">
        <v>207</v>
      </c>
    </row>
    <row r="34" spans="1:3" ht="15.75" customHeight="1" x14ac:dyDescent="0.25">
      <c r="A34" s="8" t="s">
        <v>238</v>
      </c>
      <c r="B34" s="14" t="s">
        <v>90</v>
      </c>
      <c r="C34" s="8" t="s">
        <v>207</v>
      </c>
    </row>
    <row r="35" spans="1:3" ht="15.75" customHeight="1" x14ac:dyDescent="0.25">
      <c r="A35" s="8" t="s">
        <v>239</v>
      </c>
      <c r="B35" s="14" t="s">
        <v>90</v>
      </c>
      <c r="C35" s="8" t="s">
        <v>207</v>
      </c>
    </row>
    <row r="36" spans="1:3" ht="15.75" customHeight="1" x14ac:dyDescent="0.25">
      <c r="A36" s="8" t="s">
        <v>240</v>
      </c>
      <c r="B36" s="14" t="s">
        <v>90</v>
      </c>
      <c r="C36" s="8" t="s">
        <v>207</v>
      </c>
    </row>
    <row r="37" spans="1:3" ht="15.75" customHeight="1" x14ac:dyDescent="0.25">
      <c r="A37" s="8" t="s">
        <v>241</v>
      </c>
      <c r="B37" s="14" t="s">
        <v>90</v>
      </c>
      <c r="C37" s="8" t="s">
        <v>207</v>
      </c>
    </row>
    <row r="38" spans="1:3" ht="15.75" customHeight="1" x14ac:dyDescent="0.25">
      <c r="A38" s="8" t="s">
        <v>242</v>
      </c>
      <c r="B38" s="14" t="s">
        <v>90</v>
      </c>
      <c r="C38" s="8" t="s">
        <v>207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S66"/>
  <sheetViews>
    <sheetView workbookViewId="0">
      <pane ySplit="1" topLeftCell="A34" activePane="bottomLeft" state="frozen"/>
      <selection activeCell="H16" sqref="H16"/>
      <selection pane="bottomLeft" activeCell="A65" sqref="A65"/>
    </sheetView>
  </sheetViews>
  <sheetFormatPr defaultColWidth="12.6640625" defaultRowHeight="15.75" customHeight="1" x14ac:dyDescent="0.25"/>
  <cols>
    <col min="1" max="1" width="37.21875" bestFit="1" customWidth="1"/>
    <col min="2" max="2" width="18.109375" bestFit="1" customWidth="1"/>
  </cols>
  <sheetData>
    <row r="1" spans="1:19" ht="13.2" customHeight="1" x14ac:dyDescent="0.25">
      <c r="A1" s="7" t="s">
        <v>0</v>
      </c>
      <c r="B1" s="7" t="s">
        <v>243</v>
      </c>
      <c r="C1" s="1" t="s">
        <v>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3.2" customHeight="1" x14ac:dyDescent="0.25">
      <c r="A2" s="14" t="s">
        <v>244</v>
      </c>
      <c r="B2" t="s">
        <v>245</v>
      </c>
      <c r="C2" t="s">
        <v>105</v>
      </c>
    </row>
    <row r="3" spans="1:19" ht="13.2" customHeight="1" x14ac:dyDescent="0.25">
      <c r="A3" s="14" t="s">
        <v>18</v>
      </c>
      <c r="B3" s="14" t="s">
        <v>245</v>
      </c>
      <c r="C3" t="s">
        <v>88</v>
      </c>
    </row>
    <row r="4" spans="1:19" ht="13.2" customHeight="1" x14ac:dyDescent="0.25">
      <c r="A4" s="14" t="s">
        <v>246</v>
      </c>
      <c r="B4" s="14" t="s">
        <v>245</v>
      </c>
      <c r="C4" t="s">
        <v>88</v>
      </c>
    </row>
    <row r="5" spans="1:19" ht="15.75" customHeight="1" x14ac:dyDescent="0.25">
      <c r="A5" t="s">
        <v>24</v>
      </c>
      <c r="B5" t="s">
        <v>245</v>
      </c>
      <c r="C5" t="s">
        <v>8</v>
      </c>
    </row>
    <row r="6" spans="1:19" ht="15.75" customHeight="1" x14ac:dyDescent="0.25">
      <c r="A6" t="s">
        <v>12</v>
      </c>
      <c r="B6" t="s">
        <v>245</v>
      </c>
      <c r="C6" t="s">
        <v>8</v>
      </c>
    </row>
    <row r="7" spans="1:19" ht="15.75" customHeight="1" x14ac:dyDescent="0.25">
      <c r="A7" t="s">
        <v>49</v>
      </c>
      <c r="B7" t="s">
        <v>245</v>
      </c>
      <c r="C7" t="s">
        <v>8</v>
      </c>
    </row>
    <row r="8" spans="1:19" ht="13.2" customHeight="1" x14ac:dyDescent="0.25">
      <c r="A8" t="s">
        <v>34</v>
      </c>
      <c r="B8" t="s">
        <v>245</v>
      </c>
      <c r="C8" t="s">
        <v>95</v>
      </c>
    </row>
    <row r="9" spans="1:19" ht="13.2" customHeight="1" x14ac:dyDescent="0.25">
      <c r="A9" t="s">
        <v>15</v>
      </c>
      <c r="B9" t="s">
        <v>245</v>
      </c>
      <c r="C9" t="s">
        <v>8</v>
      </c>
    </row>
    <row r="10" spans="1:19" ht="13.2" customHeight="1" x14ac:dyDescent="0.25">
      <c r="A10" t="s">
        <v>36</v>
      </c>
      <c r="B10" t="s">
        <v>245</v>
      </c>
      <c r="C10" t="s">
        <v>95</v>
      </c>
    </row>
    <row r="11" spans="1:19" ht="13.2" customHeight="1" x14ac:dyDescent="0.25">
      <c r="A11" t="s">
        <v>26</v>
      </c>
      <c r="B11" t="s">
        <v>245</v>
      </c>
      <c r="C11" t="s">
        <v>95</v>
      </c>
    </row>
    <row r="12" spans="1:19" ht="13.2" customHeight="1" x14ac:dyDescent="0.25">
      <c r="A12" t="s">
        <v>40</v>
      </c>
      <c r="B12" t="s">
        <v>245</v>
      </c>
      <c r="C12" t="s">
        <v>95</v>
      </c>
    </row>
    <row r="13" spans="1:19" ht="13.2" customHeight="1" x14ac:dyDescent="0.25">
      <c r="A13" t="s">
        <v>22</v>
      </c>
      <c r="B13" t="s">
        <v>245</v>
      </c>
      <c r="C13" t="s">
        <v>8</v>
      </c>
    </row>
    <row r="14" spans="1:19" ht="13.2" customHeight="1" x14ac:dyDescent="0.25">
      <c r="A14" t="s">
        <v>48</v>
      </c>
      <c r="B14" t="s">
        <v>245</v>
      </c>
      <c r="C14" t="s">
        <v>8</v>
      </c>
    </row>
    <row r="15" spans="1:19" ht="13.2" customHeight="1" x14ac:dyDescent="0.25">
      <c r="A15" t="s">
        <v>37</v>
      </c>
      <c r="B15" t="s">
        <v>245</v>
      </c>
      <c r="C15" t="s">
        <v>8</v>
      </c>
    </row>
    <row r="16" spans="1:19" ht="13.2" customHeight="1" x14ac:dyDescent="0.25">
      <c r="A16" t="s">
        <v>44</v>
      </c>
      <c r="B16" t="s">
        <v>245</v>
      </c>
      <c r="C16" t="s">
        <v>8</v>
      </c>
    </row>
    <row r="17" spans="1:3" ht="13.2" customHeight="1" x14ac:dyDescent="0.25">
      <c r="A17" t="s">
        <v>28</v>
      </c>
      <c r="B17" t="s">
        <v>245</v>
      </c>
      <c r="C17" t="s">
        <v>8</v>
      </c>
    </row>
    <row r="18" spans="1:3" ht="13.2" customHeight="1" x14ac:dyDescent="0.25">
      <c r="A18" t="s">
        <v>14</v>
      </c>
      <c r="B18" t="s">
        <v>245</v>
      </c>
      <c r="C18" t="s">
        <v>8</v>
      </c>
    </row>
    <row r="19" spans="1:3" ht="13.2" customHeight="1" x14ac:dyDescent="0.25">
      <c r="A19" t="s">
        <v>32</v>
      </c>
      <c r="B19" t="s">
        <v>245</v>
      </c>
      <c r="C19" t="s">
        <v>8</v>
      </c>
    </row>
    <row r="20" spans="1:3" ht="13.2" customHeight="1" x14ac:dyDescent="0.25">
      <c r="A20" t="s">
        <v>43</v>
      </c>
      <c r="B20" t="s">
        <v>245</v>
      </c>
      <c r="C20" t="s">
        <v>8</v>
      </c>
    </row>
    <row r="21" spans="1:3" ht="13.2" customHeight="1" x14ac:dyDescent="0.25">
      <c r="A21" t="s">
        <v>31</v>
      </c>
      <c r="B21" t="s">
        <v>245</v>
      </c>
      <c r="C21" t="s">
        <v>8</v>
      </c>
    </row>
    <row r="22" spans="1:3" ht="13.2" customHeight="1" x14ac:dyDescent="0.25">
      <c r="A22" t="s">
        <v>29</v>
      </c>
      <c r="B22" t="s">
        <v>245</v>
      </c>
      <c r="C22" t="s">
        <v>8</v>
      </c>
    </row>
    <row r="23" spans="1:3" ht="13.2" customHeight="1" x14ac:dyDescent="0.25">
      <c r="A23" t="s">
        <v>42</v>
      </c>
      <c r="B23" t="s">
        <v>245</v>
      </c>
      <c r="C23" t="s">
        <v>95</v>
      </c>
    </row>
    <row r="24" spans="1:3" ht="13.2" customHeight="1" x14ac:dyDescent="0.25">
      <c r="A24" t="s">
        <v>19</v>
      </c>
      <c r="B24" t="s">
        <v>245</v>
      </c>
      <c r="C24" t="s">
        <v>88</v>
      </c>
    </row>
    <row r="25" spans="1:3" ht="13.2" customHeight="1" x14ac:dyDescent="0.25">
      <c r="A25" t="s">
        <v>11</v>
      </c>
      <c r="B25" t="s">
        <v>245</v>
      </c>
      <c r="C25" t="s">
        <v>8</v>
      </c>
    </row>
    <row r="26" spans="1:3" ht="13.2" customHeight="1" x14ac:dyDescent="0.25">
      <c r="A26" t="s">
        <v>16</v>
      </c>
      <c r="B26" t="s">
        <v>245</v>
      </c>
      <c r="C26" t="s">
        <v>8</v>
      </c>
    </row>
    <row r="27" spans="1:3" ht="13.2" customHeight="1" x14ac:dyDescent="0.25">
      <c r="A27" t="s">
        <v>45</v>
      </c>
      <c r="B27" t="s">
        <v>245</v>
      </c>
      <c r="C27" t="s">
        <v>8</v>
      </c>
    </row>
    <row r="28" spans="1:3" ht="13.2" customHeight="1" x14ac:dyDescent="0.25">
      <c r="A28" t="s">
        <v>27</v>
      </c>
      <c r="B28" t="s">
        <v>247</v>
      </c>
      <c r="C28" t="s">
        <v>8</v>
      </c>
    </row>
    <row r="29" spans="1:3" ht="13.2" customHeight="1" x14ac:dyDescent="0.25">
      <c r="A29" t="s">
        <v>10</v>
      </c>
      <c r="B29" t="s">
        <v>247</v>
      </c>
      <c r="C29" t="s">
        <v>8</v>
      </c>
    </row>
    <row r="30" spans="1:3" ht="13.2" customHeight="1" x14ac:dyDescent="0.25">
      <c r="A30" t="s">
        <v>7</v>
      </c>
      <c r="B30" t="s">
        <v>247</v>
      </c>
      <c r="C30" t="s">
        <v>8</v>
      </c>
    </row>
    <row r="31" spans="1:3" ht="13.2" customHeight="1" x14ac:dyDescent="0.25">
      <c r="A31" s="14" t="s">
        <v>33</v>
      </c>
      <c r="B31" t="s">
        <v>247</v>
      </c>
      <c r="C31" t="s">
        <v>105</v>
      </c>
    </row>
    <row r="32" spans="1:3" ht="13.2" customHeight="1" x14ac:dyDescent="0.25">
      <c r="A32" t="s">
        <v>38</v>
      </c>
      <c r="B32" t="s">
        <v>247</v>
      </c>
      <c r="C32" t="s">
        <v>8</v>
      </c>
    </row>
    <row r="33" spans="1:3" ht="13.2" customHeight="1" x14ac:dyDescent="0.25">
      <c r="A33" t="s">
        <v>50</v>
      </c>
      <c r="B33" t="s">
        <v>247</v>
      </c>
      <c r="C33" t="s">
        <v>8</v>
      </c>
    </row>
    <row r="34" spans="1:3" ht="13.2" customHeight="1" x14ac:dyDescent="0.25">
      <c r="A34" t="s">
        <v>41</v>
      </c>
      <c r="B34" t="s">
        <v>247</v>
      </c>
      <c r="C34" t="s">
        <v>8</v>
      </c>
    </row>
    <row r="35" spans="1:3" ht="13.2" customHeight="1" x14ac:dyDescent="0.25">
      <c r="A35" t="s">
        <v>23</v>
      </c>
      <c r="B35" t="s">
        <v>247</v>
      </c>
      <c r="C35" t="s">
        <v>8</v>
      </c>
    </row>
    <row r="36" spans="1:3" ht="13.2" customHeight="1" x14ac:dyDescent="0.25">
      <c r="A36" t="s">
        <v>30</v>
      </c>
      <c r="B36" t="s">
        <v>247</v>
      </c>
      <c r="C36" t="s">
        <v>8</v>
      </c>
    </row>
    <row r="37" spans="1:3" ht="13.2" customHeight="1" x14ac:dyDescent="0.25">
      <c r="A37" t="s">
        <v>13</v>
      </c>
      <c r="B37" t="s">
        <v>247</v>
      </c>
      <c r="C37" t="s">
        <v>8</v>
      </c>
    </row>
    <row r="38" spans="1:3" ht="13.2" customHeight="1" x14ac:dyDescent="0.25">
      <c r="A38" t="s">
        <v>25</v>
      </c>
      <c r="B38" t="s">
        <v>247</v>
      </c>
      <c r="C38" t="s">
        <v>95</v>
      </c>
    </row>
    <row r="39" spans="1:3" ht="13.2" customHeight="1" x14ac:dyDescent="0.25">
      <c r="A39" t="s">
        <v>20</v>
      </c>
      <c r="B39" t="s">
        <v>247</v>
      </c>
      <c r="C39" t="s">
        <v>88</v>
      </c>
    </row>
    <row r="40" spans="1:3" ht="13.2" customHeight="1" x14ac:dyDescent="0.25">
      <c r="A40" t="s">
        <v>9</v>
      </c>
      <c r="B40" t="s">
        <v>247</v>
      </c>
      <c r="C40" t="s">
        <v>8</v>
      </c>
    </row>
    <row r="41" spans="1:3" ht="13.2" customHeight="1" x14ac:dyDescent="0.25">
      <c r="A41" t="s">
        <v>47</v>
      </c>
      <c r="B41" t="s">
        <v>247</v>
      </c>
      <c r="C41" t="s">
        <v>8</v>
      </c>
    </row>
    <row r="42" spans="1:3" ht="13.2" customHeight="1" x14ac:dyDescent="0.25">
      <c r="A42" t="s">
        <v>39</v>
      </c>
      <c r="B42" t="s">
        <v>247</v>
      </c>
      <c r="C42" t="s">
        <v>95</v>
      </c>
    </row>
    <row r="43" spans="1:3" ht="13.2" customHeight="1" x14ac:dyDescent="0.25">
      <c r="A43" t="s">
        <v>46</v>
      </c>
      <c r="B43" t="s">
        <v>247</v>
      </c>
      <c r="C43" t="s">
        <v>8</v>
      </c>
    </row>
    <row r="44" spans="1:3" ht="13.2" customHeight="1" x14ac:dyDescent="0.25">
      <c r="A44" t="s">
        <v>35</v>
      </c>
      <c r="B44" t="s">
        <v>247</v>
      </c>
      <c r="C44" t="s">
        <v>8</v>
      </c>
    </row>
    <row r="45" spans="1:3" ht="13.2" customHeight="1" x14ac:dyDescent="0.25">
      <c r="A45" t="s">
        <v>21</v>
      </c>
      <c r="B45" t="s">
        <v>247</v>
      </c>
      <c r="C45" t="s">
        <v>95</v>
      </c>
    </row>
    <row r="46" spans="1:3" ht="13.2" customHeight="1" x14ac:dyDescent="0.25">
      <c r="A46" s="14" t="s">
        <v>17</v>
      </c>
      <c r="B46" s="14" t="s">
        <v>247</v>
      </c>
      <c r="C46" t="s">
        <v>88</v>
      </c>
    </row>
    <row r="47" spans="1:3" ht="14.4" customHeight="1" x14ac:dyDescent="0.3">
      <c r="A47" s="9" t="s">
        <v>248</v>
      </c>
      <c r="B47" s="8" t="s">
        <v>245</v>
      </c>
      <c r="C47" t="s">
        <v>113</v>
      </c>
    </row>
    <row r="48" spans="1:3" ht="14.4" customHeight="1" x14ac:dyDescent="0.3">
      <c r="A48" s="9" t="s">
        <v>249</v>
      </c>
      <c r="B48" s="8" t="s">
        <v>245</v>
      </c>
      <c r="C48" t="s">
        <v>113</v>
      </c>
    </row>
    <row r="49" spans="1:3" ht="14.4" customHeight="1" x14ac:dyDescent="0.3">
      <c r="A49" s="9" t="s">
        <v>250</v>
      </c>
      <c r="B49" s="8" t="s">
        <v>245</v>
      </c>
      <c r="C49" t="s">
        <v>113</v>
      </c>
    </row>
    <row r="50" spans="1:3" ht="15.75" customHeight="1" x14ac:dyDescent="0.3">
      <c r="A50" s="9" t="s">
        <v>252</v>
      </c>
      <c r="B50" s="8" t="s">
        <v>245</v>
      </c>
      <c r="C50" t="s">
        <v>113</v>
      </c>
    </row>
    <row r="51" spans="1:3" ht="15.75" customHeight="1" x14ac:dyDescent="0.25">
      <c r="A51" s="8" t="s">
        <v>253</v>
      </c>
      <c r="B51" s="8" t="s">
        <v>245</v>
      </c>
      <c r="C51" t="s">
        <v>113</v>
      </c>
    </row>
    <row r="52" spans="1:3" ht="15.75" customHeight="1" x14ac:dyDescent="0.3">
      <c r="A52" s="9" t="s">
        <v>255</v>
      </c>
      <c r="B52" s="8" t="s">
        <v>245</v>
      </c>
      <c r="C52" t="s">
        <v>113</v>
      </c>
    </row>
    <row r="53" spans="1:3" ht="15.75" customHeight="1" x14ac:dyDescent="0.3">
      <c r="A53" s="9" t="s">
        <v>256</v>
      </c>
      <c r="B53" s="8" t="s">
        <v>245</v>
      </c>
      <c r="C53" t="s">
        <v>113</v>
      </c>
    </row>
    <row r="54" spans="1:3" ht="15.75" customHeight="1" x14ac:dyDescent="0.25">
      <c r="A54" s="8" t="s">
        <v>120</v>
      </c>
      <c r="B54" s="8" t="s">
        <v>245</v>
      </c>
      <c r="C54" t="s">
        <v>119</v>
      </c>
    </row>
    <row r="55" spans="1:3" ht="15.75" customHeight="1" x14ac:dyDescent="0.25">
      <c r="A55" s="8" t="s">
        <v>251</v>
      </c>
      <c r="B55" s="8" t="s">
        <v>245</v>
      </c>
      <c r="C55" t="s">
        <v>119</v>
      </c>
    </row>
    <row r="56" spans="1:3" ht="15.75" customHeight="1" x14ac:dyDescent="0.25">
      <c r="A56" s="8" t="s">
        <v>254</v>
      </c>
      <c r="B56" s="8" t="s">
        <v>245</v>
      </c>
      <c r="C56" t="s">
        <v>119</v>
      </c>
    </row>
    <row r="57" spans="1:3" ht="15.75" customHeight="1" x14ac:dyDescent="0.25">
      <c r="A57" s="10" t="s">
        <v>257</v>
      </c>
      <c r="B57" s="8" t="s">
        <v>245</v>
      </c>
      <c r="C57" t="s">
        <v>130</v>
      </c>
    </row>
    <row r="58" spans="1:3" ht="15.75" customHeight="1" x14ac:dyDescent="0.25">
      <c r="A58" s="10" t="s">
        <v>285</v>
      </c>
      <c r="B58" s="8" t="s">
        <v>245</v>
      </c>
      <c r="C58" t="s">
        <v>130</v>
      </c>
    </row>
    <row r="59" spans="1:3" ht="15.75" customHeight="1" x14ac:dyDescent="0.25">
      <c r="A59" s="10" t="s">
        <v>212</v>
      </c>
      <c r="B59" s="8" t="s">
        <v>245</v>
      </c>
      <c r="C59" t="s">
        <v>130</v>
      </c>
    </row>
    <row r="60" spans="1:3" ht="13.2" customHeight="1" x14ac:dyDescent="0.25">
      <c r="A60" s="8" t="s">
        <v>125</v>
      </c>
      <c r="B60" s="8" t="s">
        <v>247</v>
      </c>
      <c r="C60" t="s">
        <v>124</v>
      </c>
    </row>
    <row r="61" spans="1:3" ht="15.75" customHeight="1" x14ac:dyDescent="0.25">
      <c r="A61" s="8" t="s">
        <v>213</v>
      </c>
      <c r="B61" s="8" t="s">
        <v>245</v>
      </c>
      <c r="C61" t="s">
        <v>168</v>
      </c>
    </row>
    <row r="62" spans="1:3" ht="15.75" customHeight="1" x14ac:dyDescent="0.25">
      <c r="A62" s="8" t="s">
        <v>214</v>
      </c>
      <c r="B62" s="8" t="s">
        <v>245</v>
      </c>
      <c r="C62" t="s">
        <v>168</v>
      </c>
    </row>
    <row r="63" spans="1:3" ht="15.75" customHeight="1" x14ac:dyDescent="0.25">
      <c r="A63" s="8" t="s">
        <v>217</v>
      </c>
      <c r="B63" s="8" t="s">
        <v>247</v>
      </c>
      <c r="C63" t="s">
        <v>144</v>
      </c>
    </row>
    <row r="64" spans="1:3" ht="15.75" customHeight="1" x14ac:dyDescent="0.25">
      <c r="A64" s="8" t="s">
        <v>218</v>
      </c>
      <c r="B64" s="8" t="s">
        <v>247</v>
      </c>
      <c r="C64" t="s">
        <v>144</v>
      </c>
    </row>
    <row r="65" spans="1:3" ht="15.75" customHeight="1" x14ac:dyDescent="0.25">
      <c r="A65" s="8" t="s">
        <v>219</v>
      </c>
      <c r="B65" s="8" t="s">
        <v>247</v>
      </c>
      <c r="C65" t="s">
        <v>149</v>
      </c>
    </row>
    <row r="66" spans="1:3" ht="15.75" customHeight="1" x14ac:dyDescent="0.25">
      <c r="A66" s="8" t="s">
        <v>220</v>
      </c>
      <c r="B66" s="8" t="s">
        <v>247</v>
      </c>
      <c r="C66" t="s">
        <v>149</v>
      </c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35"/>
  <sheetViews>
    <sheetView workbookViewId="0">
      <pane ySplit="1" topLeftCell="A2" activePane="bottomLeft" state="frozen"/>
      <selection activeCell="B3" sqref="B3"/>
      <selection pane="bottomLeft" activeCell="G33" sqref="G33"/>
    </sheetView>
  </sheetViews>
  <sheetFormatPr defaultColWidth="12.6640625" defaultRowHeight="15.75" customHeight="1" x14ac:dyDescent="0.25"/>
  <sheetData>
    <row r="1" spans="1:7" ht="15.75" customHeight="1" x14ac:dyDescent="0.3">
      <c r="A1" s="7" t="s">
        <v>0</v>
      </c>
      <c r="B1" s="11" t="s">
        <v>258</v>
      </c>
      <c r="C1" s="11" t="s">
        <v>259</v>
      </c>
      <c r="D1" s="11" t="s">
        <v>260</v>
      </c>
      <c r="E1" s="11" t="s">
        <v>261</v>
      </c>
      <c r="F1" s="11" t="s">
        <v>262</v>
      </c>
      <c r="G1" s="7" t="s">
        <v>6</v>
      </c>
    </row>
    <row r="2" spans="1:7" ht="15.75" customHeight="1" x14ac:dyDescent="0.25">
      <c r="A2" t="s">
        <v>21</v>
      </c>
      <c r="B2">
        <v>6.5</v>
      </c>
      <c r="C2">
        <v>6.5</v>
      </c>
      <c r="D2">
        <f t="shared" ref="D2:D35" si="0">B2/SQRT(8*LOG(2,EXP(1)))</f>
        <v>2.7602958509360618</v>
      </c>
      <c r="E2">
        <f t="shared" ref="E2:E35" si="1">C2/SQRT(8*LOG(2,EXP(1)))</f>
        <v>2.7602958509360618</v>
      </c>
      <c r="F2">
        <f t="shared" ref="F2:F35" si="2">D2*E2*PI()</f>
        <v>23.936526999024863</v>
      </c>
      <c r="G2" t="s">
        <v>263</v>
      </c>
    </row>
    <row r="3" spans="1:7" ht="15.75" customHeight="1" x14ac:dyDescent="0.25">
      <c r="A3" t="s">
        <v>39</v>
      </c>
      <c r="B3">
        <v>12</v>
      </c>
      <c r="C3">
        <v>12</v>
      </c>
      <c r="D3">
        <f t="shared" si="0"/>
        <v>5.0959308017281142</v>
      </c>
      <c r="E3">
        <f t="shared" si="1"/>
        <v>5.0959308017281142</v>
      </c>
      <c r="F3">
        <f t="shared" si="2"/>
        <v>81.582482552889488</v>
      </c>
      <c r="G3" t="s">
        <v>263</v>
      </c>
    </row>
    <row r="4" spans="1:7" ht="15.75" customHeight="1" x14ac:dyDescent="0.25">
      <c r="A4" t="s">
        <v>25</v>
      </c>
      <c r="B4">
        <v>6.5</v>
      </c>
      <c r="C4">
        <v>6.5</v>
      </c>
      <c r="D4">
        <f t="shared" si="0"/>
        <v>2.7602958509360618</v>
      </c>
      <c r="E4">
        <f t="shared" si="1"/>
        <v>2.7602958509360618</v>
      </c>
      <c r="F4">
        <f t="shared" si="2"/>
        <v>23.936526999024863</v>
      </c>
      <c r="G4" t="s">
        <v>263</v>
      </c>
    </row>
    <row r="5" spans="1:7" ht="15.75" customHeight="1" x14ac:dyDescent="0.25">
      <c r="A5" t="s">
        <v>26</v>
      </c>
      <c r="B5">
        <v>6.5</v>
      </c>
      <c r="C5">
        <v>6.5</v>
      </c>
      <c r="D5">
        <f t="shared" si="0"/>
        <v>2.7602958509360618</v>
      </c>
      <c r="E5">
        <f t="shared" si="1"/>
        <v>2.7602958509360618</v>
      </c>
      <c r="F5">
        <f t="shared" si="2"/>
        <v>23.936526999024863</v>
      </c>
      <c r="G5" t="s">
        <v>263</v>
      </c>
    </row>
    <row r="6" spans="1:7" ht="15.75" customHeight="1" x14ac:dyDescent="0.25">
      <c r="A6" t="s">
        <v>34</v>
      </c>
      <c r="B6">
        <v>7</v>
      </c>
      <c r="C6">
        <v>7</v>
      </c>
      <c r="D6">
        <f t="shared" si="0"/>
        <v>2.9726263010080669</v>
      </c>
      <c r="E6">
        <f t="shared" si="1"/>
        <v>2.9726263010080669</v>
      </c>
      <c r="F6">
        <f t="shared" si="2"/>
        <v>27.760705868691563</v>
      </c>
      <c r="G6" t="s">
        <v>263</v>
      </c>
    </row>
    <row r="7" spans="1:7" ht="15.75" customHeight="1" x14ac:dyDescent="0.25">
      <c r="A7" t="s">
        <v>36</v>
      </c>
      <c r="B7">
        <v>7</v>
      </c>
      <c r="C7">
        <v>7</v>
      </c>
      <c r="D7">
        <f t="shared" si="0"/>
        <v>2.9726263010080669</v>
      </c>
      <c r="E7">
        <f t="shared" si="1"/>
        <v>2.9726263010080669</v>
      </c>
      <c r="F7">
        <f t="shared" si="2"/>
        <v>27.760705868691563</v>
      </c>
      <c r="G7" t="s">
        <v>263</v>
      </c>
    </row>
    <row r="8" spans="1:7" ht="15.75" customHeight="1" x14ac:dyDescent="0.25">
      <c r="A8" t="s">
        <v>40</v>
      </c>
      <c r="B8">
        <v>10</v>
      </c>
      <c r="C8">
        <v>10</v>
      </c>
      <c r="D8">
        <f t="shared" si="0"/>
        <v>4.2466090014400955</v>
      </c>
      <c r="E8">
        <f t="shared" si="1"/>
        <v>4.2466090014400955</v>
      </c>
      <c r="F8">
        <f t="shared" si="2"/>
        <v>56.654501772839929</v>
      </c>
      <c r="G8" t="s">
        <v>263</v>
      </c>
    </row>
    <row r="9" spans="1:7" ht="15.75" customHeight="1" x14ac:dyDescent="0.25">
      <c r="A9" t="s">
        <v>42</v>
      </c>
      <c r="B9">
        <v>7</v>
      </c>
      <c r="C9">
        <v>7</v>
      </c>
      <c r="D9">
        <f t="shared" si="0"/>
        <v>2.9726263010080669</v>
      </c>
      <c r="E9">
        <f t="shared" si="1"/>
        <v>2.9726263010080669</v>
      </c>
      <c r="F9">
        <f t="shared" si="2"/>
        <v>27.760705868691563</v>
      </c>
      <c r="G9" t="s">
        <v>263</v>
      </c>
    </row>
    <row r="10" spans="1:7" ht="15.75" customHeight="1" x14ac:dyDescent="0.25">
      <c r="A10" t="s">
        <v>17</v>
      </c>
      <c r="B10">
        <v>6.5</v>
      </c>
      <c r="C10">
        <v>6.5</v>
      </c>
      <c r="D10">
        <f t="shared" si="0"/>
        <v>2.7602958509360618</v>
      </c>
      <c r="E10">
        <f t="shared" si="1"/>
        <v>2.7602958509360618</v>
      </c>
      <c r="F10">
        <f t="shared" si="2"/>
        <v>23.936526999024863</v>
      </c>
      <c r="G10" t="s">
        <v>264</v>
      </c>
    </row>
    <row r="11" spans="1:7" ht="15.75" customHeight="1" x14ac:dyDescent="0.25">
      <c r="A11" t="s">
        <v>18</v>
      </c>
      <c r="B11">
        <v>6.5</v>
      </c>
      <c r="C11">
        <v>6.5</v>
      </c>
      <c r="D11">
        <f t="shared" si="0"/>
        <v>2.7602958509360618</v>
      </c>
      <c r="E11">
        <f t="shared" si="1"/>
        <v>2.7602958509360618</v>
      </c>
      <c r="F11">
        <f t="shared" si="2"/>
        <v>23.936526999024863</v>
      </c>
      <c r="G11" t="s">
        <v>264</v>
      </c>
    </row>
    <row r="12" spans="1:7" ht="15.75" customHeight="1" x14ac:dyDescent="0.25">
      <c r="A12" t="s">
        <v>246</v>
      </c>
      <c r="B12">
        <v>4</v>
      </c>
      <c r="C12">
        <v>4</v>
      </c>
      <c r="D12">
        <f t="shared" si="0"/>
        <v>1.6986436005760381</v>
      </c>
      <c r="E12">
        <f t="shared" si="1"/>
        <v>1.6986436005760381</v>
      </c>
      <c r="F12">
        <f t="shared" si="2"/>
        <v>9.0647202836543865</v>
      </c>
      <c r="G12" t="s">
        <v>264</v>
      </c>
    </row>
    <row r="13" spans="1:7" ht="15.75" customHeight="1" x14ac:dyDescent="0.25">
      <c r="A13" t="s">
        <v>19</v>
      </c>
      <c r="B13">
        <v>7</v>
      </c>
      <c r="C13">
        <v>7</v>
      </c>
      <c r="D13">
        <f t="shared" si="0"/>
        <v>2.9726263010080669</v>
      </c>
      <c r="E13">
        <f t="shared" si="1"/>
        <v>2.9726263010080669</v>
      </c>
      <c r="F13">
        <f t="shared" si="2"/>
        <v>27.760705868691563</v>
      </c>
      <c r="G13" t="s">
        <v>264</v>
      </c>
    </row>
    <row r="14" spans="1:7" ht="15.75" customHeight="1" x14ac:dyDescent="0.25">
      <c r="A14" t="s">
        <v>20</v>
      </c>
      <c r="B14">
        <v>6.5</v>
      </c>
      <c r="C14">
        <v>6.5</v>
      </c>
      <c r="D14">
        <f t="shared" si="0"/>
        <v>2.7602958509360618</v>
      </c>
      <c r="E14">
        <f t="shared" si="1"/>
        <v>2.7602958509360618</v>
      </c>
      <c r="F14">
        <f t="shared" si="2"/>
        <v>23.936526999024863</v>
      </c>
      <c r="G14" t="s">
        <v>264</v>
      </c>
    </row>
    <row r="15" spans="1:7" ht="15.75" customHeight="1" x14ac:dyDescent="0.25">
      <c r="A15" s="14" t="s">
        <v>33</v>
      </c>
      <c r="B15">
        <v>10</v>
      </c>
      <c r="C15">
        <v>10</v>
      </c>
      <c r="D15">
        <f t="shared" si="0"/>
        <v>4.2466090014400955</v>
      </c>
      <c r="E15">
        <f t="shared" si="1"/>
        <v>4.2466090014400955</v>
      </c>
      <c r="F15">
        <f t="shared" si="2"/>
        <v>56.654501772839929</v>
      </c>
      <c r="G15" t="s">
        <v>265</v>
      </c>
    </row>
    <row r="16" spans="1:7" ht="15.75" customHeight="1" x14ac:dyDescent="0.25">
      <c r="A16" s="14" t="s">
        <v>244</v>
      </c>
      <c r="B16">
        <v>10</v>
      </c>
      <c r="C16">
        <v>10</v>
      </c>
      <c r="D16">
        <f t="shared" si="0"/>
        <v>4.2466090014400955</v>
      </c>
      <c r="E16">
        <f t="shared" si="1"/>
        <v>4.2466090014400955</v>
      </c>
      <c r="F16">
        <f t="shared" si="2"/>
        <v>56.654501772839929</v>
      </c>
      <c r="G16" t="s">
        <v>266</v>
      </c>
    </row>
    <row r="17" spans="1:8" ht="15.75" customHeight="1" x14ac:dyDescent="0.3">
      <c r="A17" s="8" t="s">
        <v>267</v>
      </c>
      <c r="B17" s="12">
        <v>29.8</v>
      </c>
      <c r="C17" s="12">
        <v>24</v>
      </c>
      <c r="D17" s="12">
        <f t="shared" si="0"/>
        <v>12.654894824291484</v>
      </c>
      <c r="E17" s="12">
        <f t="shared" si="1"/>
        <v>10.191861603456228</v>
      </c>
      <c r="F17" s="12">
        <f t="shared" si="2"/>
        <v>405.19299667935115</v>
      </c>
      <c r="G17" t="s">
        <v>268</v>
      </c>
    </row>
    <row r="18" spans="1:8" ht="15.75" customHeight="1" x14ac:dyDescent="0.3">
      <c r="A18" s="9" t="s">
        <v>248</v>
      </c>
      <c r="B18" s="12">
        <v>23.9</v>
      </c>
      <c r="C18" s="12">
        <v>17.399999999999999</v>
      </c>
      <c r="D18" s="12">
        <f t="shared" si="0"/>
        <v>10.149395513441828</v>
      </c>
      <c r="E18" s="12">
        <f t="shared" si="1"/>
        <v>7.3890996625057657</v>
      </c>
      <c r="F18" s="12">
        <f t="shared" si="2"/>
        <v>235.60341107253208</v>
      </c>
      <c r="G18" t="s">
        <v>268</v>
      </c>
    </row>
    <row r="19" spans="1:8" ht="15.75" customHeight="1" x14ac:dyDescent="0.3">
      <c r="A19" s="9" t="s">
        <v>249</v>
      </c>
      <c r="B19" s="12">
        <v>23.2</v>
      </c>
      <c r="C19" s="12">
        <v>21.3</v>
      </c>
      <c r="D19" s="12">
        <f t="shared" si="0"/>
        <v>9.8521328833410209</v>
      </c>
      <c r="E19" s="12">
        <f t="shared" si="1"/>
        <v>9.0452771730674026</v>
      </c>
      <c r="F19" s="12">
        <f t="shared" si="2"/>
        <v>279.96388596066572</v>
      </c>
      <c r="G19" t="s">
        <v>268</v>
      </c>
    </row>
    <row r="20" spans="1:8" ht="15.75" customHeight="1" x14ac:dyDescent="0.3">
      <c r="A20" s="9" t="s">
        <v>250</v>
      </c>
      <c r="B20" s="12">
        <v>19.399999999999999</v>
      </c>
      <c r="C20" s="12">
        <v>13.6</v>
      </c>
      <c r="D20" s="12">
        <f t="shared" si="0"/>
        <v>8.2384214627937844</v>
      </c>
      <c r="E20" s="12">
        <f t="shared" si="1"/>
        <v>5.7753882419585292</v>
      </c>
      <c r="F20" s="12">
        <f t="shared" si="2"/>
        <v>149.47723747746082</v>
      </c>
      <c r="G20" t="s">
        <v>268</v>
      </c>
    </row>
    <row r="21" spans="1:8" ht="15.75" customHeight="1" x14ac:dyDescent="0.3">
      <c r="A21" s="9" t="s">
        <v>269</v>
      </c>
      <c r="B21" s="12">
        <v>22</v>
      </c>
      <c r="C21" s="12">
        <v>23</v>
      </c>
      <c r="D21" s="12">
        <f t="shared" si="0"/>
        <v>9.3425398031682096</v>
      </c>
      <c r="E21" s="12">
        <f t="shared" si="1"/>
        <v>9.7672007033122199</v>
      </c>
      <c r="F21" s="12">
        <f t="shared" si="2"/>
        <v>286.67177897057002</v>
      </c>
      <c r="G21" t="s">
        <v>268</v>
      </c>
    </row>
    <row r="22" spans="1:8" ht="15.75" customHeight="1" x14ac:dyDescent="0.3">
      <c r="A22" s="9" t="s">
        <v>252</v>
      </c>
      <c r="B22" s="12">
        <v>22.4</v>
      </c>
      <c r="C22" s="12">
        <v>19.600000000000001</v>
      </c>
      <c r="D22" s="12">
        <f t="shared" si="0"/>
        <v>9.5124041632258134</v>
      </c>
      <c r="E22" s="12">
        <f t="shared" si="1"/>
        <v>8.3233536428225872</v>
      </c>
      <c r="F22" s="12">
        <f t="shared" si="2"/>
        <v>248.73592458347642</v>
      </c>
      <c r="G22" t="s">
        <v>268</v>
      </c>
    </row>
    <row r="23" spans="1:8" ht="15.75" customHeight="1" x14ac:dyDescent="0.3">
      <c r="A23" s="8" t="s">
        <v>253</v>
      </c>
      <c r="B23" s="8">
        <v>37.9</v>
      </c>
      <c r="C23" s="8">
        <v>20.2</v>
      </c>
      <c r="D23" s="12">
        <f t="shared" si="0"/>
        <v>16.094648115457961</v>
      </c>
      <c r="E23" s="12">
        <f t="shared" si="1"/>
        <v>8.5781501829089919</v>
      </c>
      <c r="F23" s="12">
        <f t="shared" si="2"/>
        <v>433.73553467250787</v>
      </c>
      <c r="G23" t="s">
        <v>268</v>
      </c>
    </row>
    <row r="24" spans="1:8" ht="15.75" customHeight="1" x14ac:dyDescent="0.3">
      <c r="A24" s="9" t="s">
        <v>270</v>
      </c>
      <c r="B24" s="8">
        <v>32.4</v>
      </c>
      <c r="C24" s="8">
        <v>19.7</v>
      </c>
      <c r="D24" s="12">
        <f t="shared" si="0"/>
        <v>13.759013164665909</v>
      </c>
      <c r="E24" s="12">
        <f t="shared" si="1"/>
        <v>8.3658197328369877</v>
      </c>
      <c r="F24" s="12">
        <f t="shared" si="2"/>
        <v>361.61435391568261</v>
      </c>
      <c r="G24" t="s">
        <v>268</v>
      </c>
    </row>
    <row r="25" spans="1:8" ht="15.75" customHeight="1" x14ac:dyDescent="0.3">
      <c r="A25" s="9" t="s">
        <v>255</v>
      </c>
      <c r="B25" s="12">
        <v>24.4</v>
      </c>
      <c r="C25" s="12">
        <v>16.899999999999999</v>
      </c>
      <c r="D25" s="12">
        <f t="shared" si="0"/>
        <v>10.361725963513832</v>
      </c>
      <c r="E25" s="12">
        <f t="shared" si="1"/>
        <v>7.1767692124337605</v>
      </c>
      <c r="F25" s="12">
        <f t="shared" si="2"/>
        <v>233.62050351048271</v>
      </c>
      <c r="G25" t="s">
        <v>268</v>
      </c>
    </row>
    <row r="26" spans="1:8" ht="15.75" customHeight="1" x14ac:dyDescent="0.3">
      <c r="A26" s="9" t="s">
        <v>256</v>
      </c>
      <c r="B26" s="12">
        <v>18.7</v>
      </c>
      <c r="C26" s="12">
        <v>14.6</v>
      </c>
      <c r="D26" s="12">
        <f t="shared" si="0"/>
        <v>7.9411588326929783</v>
      </c>
      <c r="E26" s="12">
        <f t="shared" si="1"/>
        <v>6.2000491421025394</v>
      </c>
      <c r="F26" s="12">
        <f t="shared" si="2"/>
        <v>154.67812074020756</v>
      </c>
      <c r="G26" t="s">
        <v>268</v>
      </c>
    </row>
    <row r="27" spans="1:8" ht="15.75" customHeight="1" x14ac:dyDescent="0.3">
      <c r="A27" s="10" t="s">
        <v>257</v>
      </c>
      <c r="B27" s="8">
        <v>20</v>
      </c>
      <c r="C27" s="8">
        <v>20</v>
      </c>
      <c r="D27" s="12">
        <f t="shared" si="0"/>
        <v>8.4932180028801909</v>
      </c>
      <c r="E27" s="12">
        <f t="shared" si="1"/>
        <v>8.4932180028801909</v>
      </c>
      <c r="F27" s="12">
        <f t="shared" si="2"/>
        <v>226.61800709135971</v>
      </c>
      <c r="G27" t="s">
        <v>271</v>
      </c>
    </row>
    <row r="28" spans="1:8" ht="15.75" customHeight="1" x14ac:dyDescent="0.3">
      <c r="A28" s="10" t="s">
        <v>285</v>
      </c>
      <c r="B28" s="8">
        <f>5*9</f>
        <v>45</v>
      </c>
      <c r="C28" s="8">
        <f>5*9</f>
        <v>45</v>
      </c>
      <c r="D28" s="12">
        <f t="shared" si="0"/>
        <v>19.109740506480428</v>
      </c>
      <c r="E28" s="12">
        <f t="shared" si="1"/>
        <v>19.109740506480428</v>
      </c>
      <c r="F28" s="12">
        <f t="shared" si="2"/>
        <v>1147.2536609000083</v>
      </c>
      <c r="G28" t="s">
        <v>272</v>
      </c>
    </row>
    <row r="29" spans="1:8" ht="15.75" customHeight="1" x14ac:dyDescent="0.3">
      <c r="A29" s="10" t="s">
        <v>212</v>
      </c>
      <c r="B29" s="8">
        <f>4*9</f>
        <v>36</v>
      </c>
      <c r="C29" s="8">
        <f>4*9</f>
        <v>36</v>
      </c>
      <c r="D29" s="12">
        <f t="shared" si="0"/>
        <v>15.287792405184343</v>
      </c>
      <c r="E29" s="12">
        <f t="shared" si="1"/>
        <v>15.287792405184343</v>
      </c>
      <c r="F29" s="12">
        <f t="shared" si="2"/>
        <v>734.24234297600526</v>
      </c>
      <c r="G29" t="s">
        <v>272</v>
      </c>
    </row>
    <row r="30" spans="1:8" ht="15.75" customHeight="1" x14ac:dyDescent="0.3">
      <c r="A30" s="8" t="s">
        <v>125</v>
      </c>
      <c r="B30" s="8">
        <f>4*5</f>
        <v>20</v>
      </c>
      <c r="C30" s="8">
        <f>4*5</f>
        <v>20</v>
      </c>
      <c r="D30" s="12">
        <f t="shared" si="0"/>
        <v>8.4932180028801909</v>
      </c>
      <c r="E30" s="12">
        <f t="shared" si="1"/>
        <v>8.4932180028801909</v>
      </c>
      <c r="F30" s="12">
        <f t="shared" si="2"/>
        <v>226.61800709135971</v>
      </c>
      <c r="G30" t="s">
        <v>273</v>
      </c>
    </row>
    <row r="31" spans="1:8" ht="15.75" customHeight="1" x14ac:dyDescent="0.3">
      <c r="A31" s="8" t="s">
        <v>217</v>
      </c>
      <c r="B31" s="8">
        <v>50</v>
      </c>
      <c r="C31" s="8">
        <v>20</v>
      </c>
      <c r="D31" s="12">
        <f t="shared" si="0"/>
        <v>21.233045007200477</v>
      </c>
      <c r="E31" s="12">
        <f t="shared" si="1"/>
        <v>8.4932180028801909</v>
      </c>
      <c r="F31" s="12">
        <f t="shared" si="2"/>
        <v>566.54501772839933</v>
      </c>
      <c r="G31" t="s">
        <v>274</v>
      </c>
      <c r="H31" s="6"/>
    </row>
    <row r="32" spans="1:8" ht="15.75" customHeight="1" x14ac:dyDescent="0.3">
      <c r="A32" s="8" t="s">
        <v>218</v>
      </c>
      <c r="B32" s="8">
        <v>22</v>
      </c>
      <c r="C32" s="8">
        <v>22</v>
      </c>
      <c r="D32" s="12">
        <f t="shared" si="0"/>
        <v>9.3425398031682096</v>
      </c>
      <c r="E32" s="12">
        <f t="shared" si="1"/>
        <v>9.3425398031682096</v>
      </c>
      <c r="F32" s="12">
        <f t="shared" si="2"/>
        <v>274.20778858054518</v>
      </c>
      <c r="G32" t="s">
        <v>275</v>
      </c>
      <c r="H32" s="6"/>
    </row>
    <row r="33" spans="1:8" ht="14.4" customHeight="1" x14ac:dyDescent="0.3">
      <c r="A33" s="8" t="s">
        <v>276</v>
      </c>
      <c r="B33" s="12">
        <v>30</v>
      </c>
      <c r="C33" s="12">
        <v>59</v>
      </c>
      <c r="D33" s="12">
        <f t="shared" si="0"/>
        <v>12.739827004320286</v>
      </c>
      <c r="E33" s="12">
        <f t="shared" si="1"/>
        <v>25.054993108496561</v>
      </c>
      <c r="F33" s="12">
        <f t="shared" si="2"/>
        <v>1002.7846813792665</v>
      </c>
      <c r="G33" t="s">
        <v>277</v>
      </c>
      <c r="H33" s="6"/>
    </row>
    <row r="34" spans="1:8" ht="14.4" customHeight="1" x14ac:dyDescent="0.3">
      <c r="A34" s="8" t="s">
        <v>278</v>
      </c>
      <c r="B34" s="12">
        <v>31</v>
      </c>
      <c r="C34" s="12">
        <v>75</v>
      </c>
      <c r="D34" s="12">
        <f t="shared" si="0"/>
        <v>13.164487904464295</v>
      </c>
      <c r="E34" s="12">
        <f t="shared" si="1"/>
        <v>31.849567510800714</v>
      </c>
      <c r="F34" s="12">
        <f t="shared" si="2"/>
        <v>1317.2171662185283</v>
      </c>
      <c r="G34" t="s">
        <v>279</v>
      </c>
      <c r="H34" s="6"/>
    </row>
    <row r="35" spans="1:8" ht="15.75" customHeight="1" x14ac:dyDescent="0.3">
      <c r="A35" s="8" t="s">
        <v>186</v>
      </c>
      <c r="B35" s="8">
        <v>133</v>
      </c>
      <c r="C35" s="8">
        <v>72</v>
      </c>
      <c r="D35" s="12">
        <f t="shared" si="0"/>
        <v>56.479899719153266</v>
      </c>
      <c r="E35" s="12">
        <f t="shared" si="1"/>
        <v>30.575584810368685</v>
      </c>
      <c r="F35" s="12">
        <f t="shared" si="2"/>
        <v>5425.2350897671504</v>
      </c>
      <c r="G35" t="s">
        <v>280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4"/>
  <sheetViews>
    <sheetView workbookViewId="0">
      <selection activeCell="F1" sqref="F1"/>
    </sheetView>
  </sheetViews>
  <sheetFormatPr defaultRowHeight="13.2" x14ac:dyDescent="0.25"/>
  <cols>
    <col min="2" max="2" width="15.88671875" bestFit="1" customWidth="1"/>
    <col min="3" max="3" width="14.77734375" bestFit="1" customWidth="1"/>
    <col min="4" max="4" width="15" bestFit="1" customWidth="1"/>
    <col min="5" max="5" width="13.88671875" bestFit="1" customWidth="1"/>
    <col min="6" max="6" width="12" bestFit="1" customWidth="1"/>
  </cols>
  <sheetData>
    <row r="1" spans="1:7" s="18" customFormat="1" ht="14.4" customHeight="1" x14ac:dyDescent="0.25">
      <c r="A1" s="7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7" t="s">
        <v>6</v>
      </c>
    </row>
    <row r="2" spans="1:7" x14ac:dyDescent="0.25">
      <c r="A2" t="s">
        <v>7</v>
      </c>
      <c r="B2">
        <v>6.4314360339999999</v>
      </c>
      <c r="C2">
        <v>0.47060539699999998</v>
      </c>
      <c r="D2">
        <v>8.7283406620000008</v>
      </c>
      <c r="E2">
        <v>0.43438434599999998</v>
      </c>
      <c r="F2">
        <v>176.35570580000001</v>
      </c>
      <c r="G2" s="14" t="s">
        <v>8</v>
      </c>
    </row>
    <row r="3" spans="1:7" x14ac:dyDescent="0.25">
      <c r="A3" t="s">
        <v>9</v>
      </c>
      <c r="B3">
        <v>6.124862469</v>
      </c>
      <c r="C3">
        <v>0.42488237400000001</v>
      </c>
      <c r="D3">
        <v>9.0776947939999992</v>
      </c>
      <c r="E3">
        <v>0.70816514200000003</v>
      </c>
      <c r="F3">
        <v>174.67139589999999</v>
      </c>
      <c r="G3" s="14" t="s">
        <v>8</v>
      </c>
    </row>
    <row r="4" spans="1:7" x14ac:dyDescent="0.25">
      <c r="A4" t="s">
        <v>10</v>
      </c>
      <c r="B4">
        <v>7.4050110739999999</v>
      </c>
      <c r="C4">
        <v>0.54908437700000001</v>
      </c>
      <c r="D4">
        <v>11.35352348</v>
      </c>
      <c r="E4">
        <v>0.29903750400000001</v>
      </c>
      <c r="F4">
        <v>264.1230157</v>
      </c>
      <c r="G4" s="14" t="s">
        <v>8</v>
      </c>
    </row>
    <row r="5" spans="1:7" x14ac:dyDescent="0.25">
      <c r="A5" t="s">
        <v>11</v>
      </c>
      <c r="B5">
        <v>7.1469808930000003</v>
      </c>
      <c r="C5">
        <v>0.929695889</v>
      </c>
      <c r="D5">
        <v>9.4558882099999995</v>
      </c>
      <c r="E5">
        <v>1.535238844</v>
      </c>
      <c r="F5">
        <v>212.3121376</v>
      </c>
      <c r="G5" s="14" t="s">
        <v>8</v>
      </c>
    </row>
    <row r="6" spans="1:7" x14ac:dyDescent="0.25">
      <c r="A6" t="s">
        <v>12</v>
      </c>
      <c r="B6">
        <v>6.8529999369999999</v>
      </c>
      <c r="C6">
        <v>0.45829697200000002</v>
      </c>
      <c r="D6">
        <v>10.321523450000001</v>
      </c>
      <c r="E6">
        <v>0.19173285900000001</v>
      </c>
      <c r="F6">
        <v>222.21552829999999</v>
      </c>
      <c r="G6" s="14" t="s">
        <v>8</v>
      </c>
    </row>
    <row r="7" spans="1:7" x14ac:dyDescent="0.25">
      <c r="A7" t="s">
        <v>13</v>
      </c>
      <c r="B7">
        <v>6.0531901389999998</v>
      </c>
      <c r="C7">
        <v>1.118395158</v>
      </c>
      <c r="D7">
        <v>12.819498019999999</v>
      </c>
      <c r="E7">
        <v>1.7070096809999999</v>
      </c>
      <c r="F7">
        <v>243.78400540000001</v>
      </c>
      <c r="G7" s="14" t="s">
        <v>8</v>
      </c>
    </row>
    <row r="8" spans="1:7" x14ac:dyDescent="0.25">
      <c r="A8" t="s">
        <v>14</v>
      </c>
      <c r="B8">
        <v>6.1937999870000002</v>
      </c>
      <c r="C8">
        <v>0.46471418799999997</v>
      </c>
      <c r="D8">
        <v>9.7776876060000006</v>
      </c>
      <c r="E8">
        <v>0.61668225600000004</v>
      </c>
      <c r="F8">
        <v>190.25812260000001</v>
      </c>
      <c r="G8" s="14" t="s">
        <v>8</v>
      </c>
    </row>
    <row r="9" spans="1:7" x14ac:dyDescent="0.25">
      <c r="A9" t="s">
        <v>15</v>
      </c>
      <c r="B9">
        <v>6.4973758630000003</v>
      </c>
      <c r="C9">
        <v>0.42762027600000002</v>
      </c>
      <c r="D9">
        <v>11.780849010000001</v>
      </c>
      <c r="E9">
        <v>0.74547528299999999</v>
      </c>
      <c r="F9">
        <v>240.4719656</v>
      </c>
      <c r="G9" s="14" t="s">
        <v>8</v>
      </c>
    </row>
    <row r="10" spans="1:7" x14ac:dyDescent="0.25">
      <c r="A10" t="s">
        <v>16</v>
      </c>
      <c r="B10">
        <v>6.1708587049999997</v>
      </c>
      <c r="C10">
        <v>0.85619785299999995</v>
      </c>
      <c r="D10">
        <v>8.5066257519999997</v>
      </c>
      <c r="E10">
        <v>0.96927351100000003</v>
      </c>
      <c r="F10">
        <v>164.91220620000001</v>
      </c>
      <c r="G10" s="14" t="s">
        <v>8</v>
      </c>
    </row>
    <row r="11" spans="1:7" x14ac:dyDescent="0.25">
      <c r="A11" t="s">
        <v>17</v>
      </c>
      <c r="B11">
        <v>5.5258248119999998</v>
      </c>
      <c r="C11">
        <v>0.33586849099999999</v>
      </c>
      <c r="D11">
        <v>9.0341577700000002</v>
      </c>
      <c r="E11">
        <v>0.51960411200000001</v>
      </c>
      <c r="F11">
        <v>156.83199089999999</v>
      </c>
      <c r="G11" s="14" t="s">
        <v>8</v>
      </c>
    </row>
    <row r="12" spans="1:7" x14ac:dyDescent="0.25">
      <c r="A12" t="s">
        <v>18</v>
      </c>
      <c r="B12">
        <v>6.4749966920000004</v>
      </c>
      <c r="C12">
        <v>0.55080135799999996</v>
      </c>
      <c r="D12">
        <v>9.4989280770000004</v>
      </c>
      <c r="E12">
        <v>1.157820708</v>
      </c>
      <c r="F12">
        <v>193.2253145</v>
      </c>
      <c r="G12" s="14" t="s">
        <v>8</v>
      </c>
    </row>
    <row r="13" spans="1:7" x14ac:dyDescent="0.25">
      <c r="A13" t="s">
        <v>19</v>
      </c>
      <c r="B13">
        <v>5.0364060630000003</v>
      </c>
      <c r="C13">
        <v>0.71550872399999998</v>
      </c>
      <c r="D13">
        <v>8.5629638700000008</v>
      </c>
      <c r="E13">
        <v>1.241698738</v>
      </c>
      <c r="F13">
        <v>135.48609400000001</v>
      </c>
      <c r="G13" s="14" t="s">
        <v>8</v>
      </c>
    </row>
    <row r="14" spans="1:7" x14ac:dyDescent="0.25">
      <c r="A14" t="s">
        <v>20</v>
      </c>
      <c r="B14">
        <v>5.8998994060000003</v>
      </c>
      <c r="C14">
        <v>1.2440354870000001</v>
      </c>
      <c r="D14">
        <v>10.01686774</v>
      </c>
      <c r="E14">
        <v>1.467436306</v>
      </c>
      <c r="F14">
        <v>185.6634512</v>
      </c>
      <c r="G14" s="14" t="s">
        <v>8</v>
      </c>
    </row>
    <row r="15" spans="1:7" x14ac:dyDescent="0.25">
      <c r="A15" t="s">
        <v>21</v>
      </c>
      <c r="B15">
        <v>7.0293068539999997</v>
      </c>
      <c r="C15">
        <v>0.41569088500000001</v>
      </c>
      <c r="D15">
        <v>11.60295408</v>
      </c>
      <c r="E15">
        <v>0.935301253</v>
      </c>
      <c r="F15">
        <v>256.23057340000003</v>
      </c>
      <c r="G15" s="14" t="s">
        <v>8</v>
      </c>
    </row>
    <row r="16" spans="1:7" x14ac:dyDescent="0.25">
      <c r="A16" t="s">
        <v>22</v>
      </c>
      <c r="B16">
        <v>8.0910402250000004</v>
      </c>
      <c r="C16">
        <v>0.82821143500000005</v>
      </c>
      <c r="D16">
        <v>13.019116800000001</v>
      </c>
      <c r="E16">
        <v>1.8619607199999999</v>
      </c>
      <c r="F16">
        <v>330.92970810000003</v>
      </c>
      <c r="G16" s="14" t="s">
        <v>8</v>
      </c>
    </row>
    <row r="17" spans="1:7" x14ac:dyDescent="0.25">
      <c r="A17" t="s">
        <v>23</v>
      </c>
      <c r="B17">
        <v>5.1808927899999997</v>
      </c>
      <c r="C17">
        <v>0.94018823299999998</v>
      </c>
      <c r="D17">
        <v>8.4812553659999992</v>
      </c>
      <c r="E17">
        <v>1.9919262289999999</v>
      </c>
      <c r="F17">
        <v>138.0430728</v>
      </c>
      <c r="G17" s="14" t="s">
        <v>8</v>
      </c>
    </row>
    <row r="18" spans="1:7" x14ac:dyDescent="0.25">
      <c r="A18" t="s">
        <v>24</v>
      </c>
      <c r="B18">
        <v>7.7378399419999999</v>
      </c>
      <c r="C18">
        <v>0.64636922699999999</v>
      </c>
      <c r="D18">
        <v>13.2450735</v>
      </c>
      <c r="E18">
        <v>0.94364292999999999</v>
      </c>
      <c r="F18">
        <v>321.97636069999999</v>
      </c>
      <c r="G18" s="14" t="s">
        <v>8</v>
      </c>
    </row>
    <row r="19" spans="1:7" x14ac:dyDescent="0.25">
      <c r="A19" t="s">
        <v>25</v>
      </c>
      <c r="B19">
        <v>5.2763121020000003</v>
      </c>
      <c r="C19">
        <v>0.48172410700000001</v>
      </c>
      <c r="D19">
        <v>9.6290951509999996</v>
      </c>
      <c r="E19">
        <v>1.014483727</v>
      </c>
      <c r="F19">
        <v>159.61210589999999</v>
      </c>
      <c r="G19" s="14" t="s">
        <v>8</v>
      </c>
    </row>
    <row r="20" spans="1:7" x14ac:dyDescent="0.25">
      <c r="A20" t="s">
        <v>26</v>
      </c>
      <c r="B20">
        <v>6.234577292</v>
      </c>
      <c r="C20">
        <v>0.44792240900000002</v>
      </c>
      <c r="D20">
        <v>9.9504819349999991</v>
      </c>
      <c r="E20">
        <v>0.86948254899999999</v>
      </c>
      <c r="F20">
        <v>194.89513650000001</v>
      </c>
      <c r="G20" s="14" t="s">
        <v>8</v>
      </c>
    </row>
    <row r="21" spans="1:7" x14ac:dyDescent="0.25">
      <c r="A21" t="s">
        <v>27</v>
      </c>
      <c r="B21">
        <v>7.8665491320000003</v>
      </c>
      <c r="C21">
        <v>0.34530042900000002</v>
      </c>
      <c r="D21">
        <v>11.24654973</v>
      </c>
      <c r="E21">
        <v>0.69757175299999996</v>
      </c>
      <c r="F21">
        <v>277.94152759999997</v>
      </c>
      <c r="G21" s="14" t="s">
        <v>8</v>
      </c>
    </row>
    <row r="22" spans="1:7" x14ac:dyDescent="0.25">
      <c r="A22" t="s">
        <v>28</v>
      </c>
      <c r="B22">
        <v>5.9997634509999997</v>
      </c>
      <c r="C22">
        <v>0.29447132199999998</v>
      </c>
      <c r="D22">
        <v>9.4460977489999998</v>
      </c>
      <c r="E22">
        <v>1.405528092</v>
      </c>
      <c r="F22">
        <v>178.04772800000001</v>
      </c>
      <c r="G22" s="14" t="s">
        <v>8</v>
      </c>
    </row>
    <row r="23" spans="1:7" x14ac:dyDescent="0.25">
      <c r="A23" t="s">
        <v>29</v>
      </c>
      <c r="B23">
        <v>8.7812049109999997</v>
      </c>
      <c r="C23">
        <v>0.59184191799999997</v>
      </c>
      <c r="D23">
        <v>12.871849429999999</v>
      </c>
      <c r="E23">
        <v>0.80513420000000002</v>
      </c>
      <c r="F23">
        <v>355.09530910000001</v>
      </c>
      <c r="G23" s="14" t="s">
        <v>8</v>
      </c>
    </row>
    <row r="24" spans="1:7" x14ac:dyDescent="0.25">
      <c r="A24" t="s">
        <v>30</v>
      </c>
      <c r="B24">
        <v>4.4044333</v>
      </c>
      <c r="C24">
        <v>0.95238515700000004</v>
      </c>
      <c r="D24">
        <v>9.0063689450000002</v>
      </c>
      <c r="E24">
        <v>1.2856970649999999</v>
      </c>
      <c r="F24">
        <v>124.6205444</v>
      </c>
      <c r="G24" s="14" t="s">
        <v>8</v>
      </c>
    </row>
    <row r="25" spans="1:7" x14ac:dyDescent="0.25">
      <c r="A25" t="s">
        <v>31</v>
      </c>
      <c r="B25">
        <v>6.3510875169999998</v>
      </c>
      <c r="C25">
        <v>0.424109085</v>
      </c>
      <c r="D25">
        <v>10.02880154</v>
      </c>
      <c r="E25">
        <v>0.42539793300000001</v>
      </c>
      <c r="F25">
        <v>200.09996240000001</v>
      </c>
      <c r="G25" s="14" t="s">
        <v>8</v>
      </c>
    </row>
    <row r="26" spans="1:7" x14ac:dyDescent="0.25">
      <c r="A26" t="s">
        <v>32</v>
      </c>
      <c r="B26">
        <v>4.8916750120000003</v>
      </c>
      <c r="C26">
        <v>0.27226417400000003</v>
      </c>
      <c r="D26">
        <v>8.6481281939999999</v>
      </c>
      <c r="E26">
        <v>1.4115577589999999</v>
      </c>
      <c r="F26">
        <v>132.90140969999999</v>
      </c>
      <c r="G26" s="14" t="s">
        <v>8</v>
      </c>
    </row>
    <row r="27" spans="1:7" x14ac:dyDescent="0.25">
      <c r="A27" s="14" t="s">
        <v>33</v>
      </c>
      <c r="B27">
        <v>5.5960403469999997</v>
      </c>
      <c r="C27">
        <v>0.412833862</v>
      </c>
      <c r="D27">
        <v>9.3199541880000005</v>
      </c>
      <c r="E27">
        <v>1.037418438</v>
      </c>
      <c r="F27">
        <v>163.8492612</v>
      </c>
      <c r="G27" s="14" t="s">
        <v>8</v>
      </c>
    </row>
    <row r="28" spans="1:7" x14ac:dyDescent="0.25">
      <c r="A28" t="s">
        <v>34</v>
      </c>
      <c r="B28">
        <v>7.6967735069999996</v>
      </c>
      <c r="C28">
        <v>0.72727804399999996</v>
      </c>
      <c r="D28">
        <v>11.351821149999999</v>
      </c>
      <c r="E28">
        <v>1.1164677249999999</v>
      </c>
      <c r="F28">
        <v>274.48847840000002</v>
      </c>
      <c r="G28" s="14" t="s">
        <v>8</v>
      </c>
    </row>
    <row r="29" spans="1:7" x14ac:dyDescent="0.25">
      <c r="A29" t="s">
        <v>35</v>
      </c>
      <c r="B29">
        <v>5.8763170000000002</v>
      </c>
      <c r="C29">
        <v>0.46051828099999997</v>
      </c>
      <c r="D29">
        <v>9.4357693380000001</v>
      </c>
      <c r="E29">
        <v>0.44282559300000002</v>
      </c>
      <c r="F29">
        <v>174.19368410000001</v>
      </c>
      <c r="G29" s="14" t="s">
        <v>8</v>
      </c>
    </row>
    <row r="30" spans="1:7" x14ac:dyDescent="0.25">
      <c r="A30" t="s">
        <v>36</v>
      </c>
      <c r="B30">
        <v>5.589552823</v>
      </c>
      <c r="C30">
        <v>0.49966220099999997</v>
      </c>
      <c r="D30">
        <v>9.1270774679999995</v>
      </c>
      <c r="E30">
        <v>1.7189232489999999</v>
      </c>
      <c r="F30">
        <v>160.2723756</v>
      </c>
      <c r="G30" s="14" t="s">
        <v>8</v>
      </c>
    </row>
    <row r="31" spans="1:7" x14ac:dyDescent="0.25">
      <c r="A31" t="s">
        <v>37</v>
      </c>
      <c r="B31">
        <v>7.3776796070000001</v>
      </c>
      <c r="C31">
        <v>1.153757583</v>
      </c>
      <c r="D31">
        <v>12.960407330000001</v>
      </c>
      <c r="E31">
        <v>2.225688441</v>
      </c>
      <c r="F31">
        <v>300.39196700000002</v>
      </c>
      <c r="G31" s="14" t="s">
        <v>8</v>
      </c>
    </row>
    <row r="32" spans="1:7" x14ac:dyDescent="0.25">
      <c r="A32" t="s">
        <v>38</v>
      </c>
      <c r="B32">
        <v>8.038039199</v>
      </c>
      <c r="C32">
        <v>0.866905437</v>
      </c>
      <c r="D32">
        <v>11.70345818</v>
      </c>
      <c r="E32">
        <v>1.2690001200000001</v>
      </c>
      <c r="F32">
        <v>295.53859219999998</v>
      </c>
      <c r="G32" s="14" t="s">
        <v>8</v>
      </c>
    </row>
    <row r="33" spans="1:7" x14ac:dyDescent="0.25">
      <c r="A33" t="s">
        <v>39</v>
      </c>
      <c r="B33">
        <v>7.1589931760000001</v>
      </c>
      <c r="C33">
        <v>0.19988003300000001</v>
      </c>
      <c r="D33">
        <v>10.996043719999999</v>
      </c>
      <c r="E33">
        <v>0.32099282400000001</v>
      </c>
      <c r="F33">
        <v>247.30806480000001</v>
      </c>
      <c r="G33" s="14" t="s">
        <v>8</v>
      </c>
    </row>
    <row r="34" spans="1:7" x14ac:dyDescent="0.25">
      <c r="A34" t="s">
        <v>40</v>
      </c>
      <c r="B34">
        <v>7.5518401519999996</v>
      </c>
      <c r="C34">
        <v>0.84835586399999996</v>
      </c>
      <c r="D34">
        <v>11.898788010000001</v>
      </c>
      <c r="E34">
        <v>0.52052800099999996</v>
      </c>
      <c r="F34">
        <v>282.29643170000003</v>
      </c>
      <c r="G34" s="14" t="s">
        <v>8</v>
      </c>
    </row>
    <row r="35" spans="1:7" x14ac:dyDescent="0.25">
      <c r="A35" t="s">
        <v>41</v>
      </c>
      <c r="B35">
        <v>6.2748650870000002</v>
      </c>
      <c r="C35">
        <v>0.73706449799999996</v>
      </c>
      <c r="D35">
        <v>8.1224448299999992</v>
      </c>
      <c r="E35">
        <v>0.59936673900000004</v>
      </c>
      <c r="F35">
        <v>160.118324</v>
      </c>
      <c r="G35" s="14" t="s">
        <v>8</v>
      </c>
    </row>
    <row r="36" spans="1:7" x14ac:dyDescent="0.25">
      <c r="A36" t="s">
        <v>42</v>
      </c>
      <c r="B36">
        <v>4.9403683530000002</v>
      </c>
      <c r="C36">
        <v>0.37937048699999998</v>
      </c>
      <c r="D36">
        <v>8.2605420980000002</v>
      </c>
      <c r="E36">
        <v>0.62229884800000002</v>
      </c>
      <c r="F36">
        <v>128.2087756</v>
      </c>
      <c r="G36" s="14" t="s">
        <v>8</v>
      </c>
    </row>
    <row r="37" spans="1:7" x14ac:dyDescent="0.25">
      <c r="A37" t="s">
        <v>43</v>
      </c>
      <c r="B37">
        <v>7.3126475729999996</v>
      </c>
      <c r="C37">
        <v>0.45227723199999997</v>
      </c>
      <c r="D37">
        <v>10.77064916</v>
      </c>
      <c r="E37">
        <v>0.63414730399999997</v>
      </c>
      <c r="F37">
        <v>247.43799949999999</v>
      </c>
      <c r="G37" s="14" t="s">
        <v>8</v>
      </c>
    </row>
    <row r="38" spans="1:7" x14ac:dyDescent="0.25">
      <c r="A38" t="s">
        <v>44</v>
      </c>
      <c r="B38">
        <v>6.7034571969999996</v>
      </c>
      <c r="C38">
        <v>0.40390942699999999</v>
      </c>
      <c r="D38">
        <v>11.44081287</v>
      </c>
      <c r="E38">
        <v>1.347216258</v>
      </c>
      <c r="F38">
        <v>240.93816340000001</v>
      </c>
      <c r="G38" s="14" t="s">
        <v>8</v>
      </c>
    </row>
    <row r="39" spans="1:7" x14ac:dyDescent="0.25">
      <c r="A39" t="s">
        <v>45</v>
      </c>
      <c r="B39">
        <v>7.1420579120000003</v>
      </c>
      <c r="C39">
        <v>1.6292830890000001</v>
      </c>
      <c r="D39">
        <v>9.8040995300000002</v>
      </c>
      <c r="E39">
        <v>2.9000666960000001</v>
      </c>
      <c r="F39">
        <v>219.9788623</v>
      </c>
      <c r="G39" s="14" t="s">
        <v>8</v>
      </c>
    </row>
    <row r="40" spans="1:7" x14ac:dyDescent="0.25">
      <c r="A40" t="s">
        <v>46</v>
      </c>
      <c r="B40">
        <v>6.5740486349999996</v>
      </c>
      <c r="C40">
        <v>0.52576591900000003</v>
      </c>
      <c r="D40">
        <v>8.3418031280000005</v>
      </c>
      <c r="E40">
        <v>0.16512452799999999</v>
      </c>
      <c r="F40">
        <v>172.28311729999999</v>
      </c>
      <c r="G40" s="14" t="s">
        <v>8</v>
      </c>
    </row>
    <row r="41" spans="1:7" x14ac:dyDescent="0.25">
      <c r="A41" t="s">
        <v>47</v>
      </c>
      <c r="B41">
        <v>7.4773380249999999</v>
      </c>
      <c r="C41">
        <v>0.79686854299999998</v>
      </c>
      <c r="D41">
        <v>11.263022429999999</v>
      </c>
      <c r="E41">
        <v>0.65764571299999997</v>
      </c>
      <c r="F41">
        <v>264.57684640000002</v>
      </c>
      <c r="G41" s="14" t="s">
        <v>8</v>
      </c>
    </row>
    <row r="42" spans="1:7" x14ac:dyDescent="0.25">
      <c r="A42" t="s">
        <v>48</v>
      </c>
      <c r="B42">
        <v>6.5276084560000003</v>
      </c>
      <c r="C42">
        <v>0.26273737699999999</v>
      </c>
      <c r="D42">
        <v>11.308799349999999</v>
      </c>
      <c r="E42">
        <v>1.351930753</v>
      </c>
      <c r="F42">
        <v>231.9105295</v>
      </c>
      <c r="G42" s="14" t="s">
        <v>8</v>
      </c>
    </row>
    <row r="43" spans="1:7" x14ac:dyDescent="0.25">
      <c r="A43" t="s">
        <v>49</v>
      </c>
      <c r="B43">
        <v>6.8544227500000003</v>
      </c>
      <c r="C43">
        <v>0.76910102899999999</v>
      </c>
      <c r="D43">
        <v>13.57831375</v>
      </c>
      <c r="E43">
        <v>1.6064408999999999</v>
      </c>
      <c r="F43">
        <v>292.39274899999998</v>
      </c>
      <c r="G43" s="14" t="s">
        <v>8</v>
      </c>
    </row>
    <row r="44" spans="1:7" x14ac:dyDescent="0.25">
      <c r="A44" t="s">
        <v>50</v>
      </c>
      <c r="B44">
        <v>5.5383597739999999</v>
      </c>
      <c r="C44">
        <v>0.56682113199999995</v>
      </c>
      <c r="D44">
        <v>7.3723310609999997</v>
      </c>
      <c r="E44">
        <v>0.64844612999999995</v>
      </c>
      <c r="F44">
        <v>128.27318149999999</v>
      </c>
      <c r="G44" s="1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legend</vt:lpstr>
      <vt:lpstr>summary</vt:lpstr>
      <vt:lpstr>CBN visual sensitivity</vt:lpstr>
      <vt:lpstr>contrast selectivity</vt:lpstr>
      <vt:lpstr>RF size</vt:lpstr>
      <vt:lpstr>RF size 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Hoeller, Judith</cp:lastModifiedBy>
  <dcterms:created xsi:type="dcterms:W3CDTF">2026-06-12T02:54:01Z</dcterms:created>
  <dcterms:modified xsi:type="dcterms:W3CDTF">2026-06-26T04:48:08Z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8906ff0-52ec-452d-8c5e-cde77f900816_Enabled">
    <vt:lpwstr>true</vt:lpwstr>
  </property>
  <property fmtid="{D5CDD505-2E9C-101B-9397-08002B2CF9AE}" pid="3" name="MSIP_Label_e8906ff0-52ec-452d-8c5e-cde77f900816_SetDate">
    <vt:lpwstr>2026-06-12T04:22:52Z</vt:lpwstr>
  </property>
  <property fmtid="{D5CDD505-2E9C-101B-9397-08002B2CF9AE}" pid="4" name="MSIP_Label_e8906ff0-52ec-452d-8c5e-cde77f900816_Method">
    <vt:lpwstr>Standard</vt:lpwstr>
  </property>
  <property fmtid="{D5CDD505-2E9C-101B-9397-08002B2CF9AE}" pid="5" name="MSIP_Label_e8906ff0-52ec-452d-8c5e-cde77f900816_Name">
    <vt:lpwstr>e8906ff0-52ec-452d-8c5e-cde77f900816</vt:lpwstr>
  </property>
  <property fmtid="{D5CDD505-2E9C-101B-9397-08002B2CF9AE}" pid="6" name="MSIP_Label_e8906ff0-52ec-452d-8c5e-cde77f900816_SiteId">
    <vt:lpwstr>dd8acbd0-ad85-4eb9-8a76-871027ad4a1b</vt:lpwstr>
  </property>
  <property fmtid="{D5CDD505-2E9C-101B-9397-08002B2CF9AE}" pid="7" name="MSIP_Label_e8906ff0-52ec-452d-8c5e-cde77f900816_ActionId">
    <vt:lpwstr>80a79bb9-f571-44d2-8b7a-99fa7451fb24</vt:lpwstr>
  </property>
  <property fmtid="{D5CDD505-2E9C-101B-9397-08002B2CF9AE}" pid="8" name="MSIP_Label_e8906ff0-52ec-452d-8c5e-cde77f900816_ContentBits">
    <vt:lpwstr>0</vt:lpwstr>
  </property>
  <property fmtid="{D5CDD505-2E9C-101B-9397-08002B2CF9AE}" pid="9" name="MSIP_Label_e8906ff0-52ec-452d-8c5e-cde77f900816_Tag">
    <vt:lpwstr>10, 3, 0, 1</vt:lpwstr>
  </property>
</Properties>
</file>