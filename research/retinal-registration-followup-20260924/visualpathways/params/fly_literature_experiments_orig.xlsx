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L:\runtime\ol-connectome-analysis\params\"/>
    </mc:Choice>
  </mc:AlternateContent>
  <xr:revisionPtr revIDLastSave="0" documentId="13_ncr:1_{14ACC0B8-90AD-4A33-A376-B53F5400C1D1}" xr6:coauthVersionLast="47" xr6:coauthVersionMax="47" xr10:uidLastSave="{00000000-0000-0000-0000-000000000000}"/>
  <bookViews>
    <workbookView xWindow="12255" yWindow="21480" windowWidth="29040" windowHeight="18240" activeTab="6" xr2:uid="{00000000-000D-0000-FFFF-FFFF00000000}"/>
  </bookViews>
  <sheets>
    <sheet name="CB summary" sheetId="1" r:id="rId1"/>
    <sheet name="light sensitivity" sheetId="2" r:id="rId2"/>
    <sheet name="input sensitivity" sheetId="3" r:id="rId3"/>
    <sheet name="RF size" sheetId="4" r:id="rId4"/>
    <sheet name="RF size CC" sheetId="7" r:id="rId5"/>
    <sheet name="RF side" sheetId="5" r:id="rId6"/>
    <sheet name="RF coverage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" l="1"/>
  <c r="D16" i="4"/>
  <c r="F16" i="4" s="1"/>
  <c r="E15" i="4"/>
  <c r="D15" i="4"/>
  <c r="E14" i="4"/>
  <c r="D14" i="4"/>
  <c r="F14" i="4" s="1"/>
  <c r="E13" i="4"/>
  <c r="D13" i="4"/>
  <c r="E12" i="4"/>
  <c r="D12" i="4"/>
  <c r="E11" i="4"/>
  <c r="D11" i="4"/>
  <c r="F11" i="4" s="1"/>
  <c r="E10" i="4"/>
  <c r="D10" i="4"/>
  <c r="E9" i="4"/>
  <c r="D9" i="4"/>
  <c r="E8" i="4"/>
  <c r="D8" i="4"/>
  <c r="E7" i="4"/>
  <c r="D7" i="4"/>
  <c r="E6" i="4"/>
  <c r="D6" i="4"/>
  <c r="E5" i="4"/>
  <c r="D5" i="4"/>
  <c r="F5" i="4" s="1"/>
  <c r="E4" i="4"/>
  <c r="D4" i="4"/>
  <c r="F4" i="4" s="1"/>
  <c r="E3" i="4"/>
  <c r="D3" i="4"/>
  <c r="E2" i="4"/>
  <c r="D2" i="4"/>
  <c r="F2" i="4" s="1"/>
  <c r="F12" i="4" l="1"/>
  <c r="F10" i="4"/>
  <c r="F9" i="4"/>
  <c r="F15" i="4"/>
  <c r="F8" i="4"/>
  <c r="F3" i="4"/>
  <c r="F13" i="4"/>
  <c r="F7" i="4"/>
  <c r="F6" i="4"/>
  <c r="E71" i="4"/>
  <c r="D71" i="4"/>
  <c r="E55" i="4"/>
  <c r="D55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F47" i="4" s="1"/>
  <c r="E46" i="4"/>
  <c r="D46" i="4"/>
  <c r="E45" i="4"/>
  <c r="D45" i="4"/>
  <c r="E44" i="4"/>
  <c r="D44" i="4"/>
  <c r="E43" i="4"/>
  <c r="D43" i="4"/>
  <c r="E42" i="4"/>
  <c r="D42" i="4"/>
  <c r="C33" i="4"/>
  <c r="E33" i="4" s="1"/>
  <c r="B33" i="4"/>
  <c r="D33" i="4" s="1"/>
  <c r="C32" i="4"/>
  <c r="E32" i="4" s="1"/>
  <c r="B32" i="4"/>
  <c r="D32" i="4" s="1"/>
  <c r="E31" i="4"/>
  <c r="D31" i="4"/>
  <c r="E29" i="4"/>
  <c r="D29" i="4"/>
  <c r="E28" i="4"/>
  <c r="D28" i="4"/>
  <c r="F28" i="4" s="1"/>
  <c r="E27" i="4"/>
  <c r="D27" i="4"/>
  <c r="E25" i="4"/>
  <c r="D25" i="4"/>
  <c r="E24" i="4"/>
  <c r="D24" i="4"/>
  <c r="E22" i="4"/>
  <c r="D22" i="4"/>
  <c r="E20" i="4"/>
  <c r="D20" i="4"/>
  <c r="E19" i="4"/>
  <c r="D19" i="4"/>
  <c r="F19" i="4" s="1"/>
  <c r="E18" i="4"/>
  <c r="D18" i="4"/>
  <c r="C34" i="4"/>
  <c r="E34" i="4" s="1"/>
  <c r="B34" i="4"/>
  <c r="D34" i="4" s="1"/>
  <c r="F34" i="4" s="1"/>
  <c r="E17" i="4"/>
  <c r="D17" i="4"/>
  <c r="F17" i="4" s="1"/>
  <c r="F44" i="4" l="1"/>
  <c r="F53" i="4"/>
  <c r="F22" i="4"/>
  <c r="F33" i="4"/>
  <c r="F55" i="4"/>
  <c r="F32" i="4"/>
  <c r="F25" i="4"/>
  <c r="F52" i="4"/>
  <c r="F20" i="4"/>
  <c r="F24" i="4"/>
  <c r="F51" i="4"/>
  <c r="F45" i="4"/>
  <c r="F31" i="4"/>
  <c r="F46" i="4"/>
  <c r="F71" i="4"/>
  <c r="F48" i="4"/>
  <c r="F49" i="4"/>
  <c r="F50" i="4"/>
  <c r="F18" i="4"/>
  <c r="F29" i="4"/>
  <c r="F27" i="4"/>
  <c r="F42" i="4"/>
  <c r="F43" i="4"/>
</calcChain>
</file>

<file path=xl/sharedStrings.xml><?xml version="1.0" encoding="utf-8"?>
<sst xmlns="http://schemas.openxmlformats.org/spreadsheetml/2006/main" count="1440" uniqueCount="440">
  <si>
    <t>URL</t>
  </si>
  <si>
    <t>Reference</t>
  </si>
  <si>
    <t>Neuron type</t>
  </si>
  <si>
    <t>light sensitivity</t>
  </si>
  <si>
    <t>polarotopy</t>
  </si>
  <si>
    <t>polarity</t>
  </si>
  <si>
    <t>ipsi vs contra</t>
  </si>
  <si>
    <t>retinotopy</t>
  </si>
  <si>
    <t>RF size</t>
  </si>
  <si>
    <t>Relevant figures</t>
  </si>
  <si>
    <t>Recording method</t>
  </si>
  <si>
    <t>Visual stimulus</t>
  </si>
  <si>
    <t>Visual response quantity</t>
  </si>
  <si>
    <t>No. neurons/flies</t>
  </si>
  <si>
    <t>https://www.sciencedirect.com/science/article/pii/S0896627322001787</t>
  </si>
  <si>
    <t>Klapoetke et al, 2022</t>
  </si>
  <si>
    <t>10 LC types (in PVLP and PLP)</t>
  </si>
  <si>
    <t>Y</t>
  </si>
  <si>
    <t>N</t>
  </si>
  <si>
    <t>2, Table S4</t>
  </si>
  <si>
    <t>2p gcamp6f</t>
  </si>
  <si>
    <t>localized moving grating, bright loom, dark loom, moving dark square, moving dark bar</t>
  </si>
  <si>
    <t>retinotopy, RF size</t>
  </si>
  <si>
    <t>7-11</t>
  </si>
  <si>
    <t>https://elifesciences.org/articles/82587</t>
  </si>
  <si>
    <t>Turner et al, 2022</t>
  </si>
  <si>
    <t>13 LC types (in PVLP and PLP)</t>
  </si>
  <si>
    <t>3, 4</t>
  </si>
  <si>
    <t>horizontally moving grating, horizontally moving bright bar, horizontally moving dark bar, moving bright spot (various sizes), moving dark spot (various sizes), flicker, dark loom, horizontally moving spot + countermoving grating</t>
  </si>
  <si>
    <t>stimulus sensitivity, polarity</t>
  </si>
  <si>
    <t>4-9</t>
  </si>
  <si>
    <t>https://www.cell.com/cell/fulltext/S0092-8674(18)30788-8</t>
  </si>
  <si>
    <t>Ribeiro et al, 2018</t>
  </si>
  <si>
    <t>LC10 (in LO and AOTU)</t>
  </si>
  <si>
    <t>4, 5, S6</t>
  </si>
  <si>
    <t>2p gcamp6m</t>
  </si>
  <si>
    <t>4-6 flies</t>
  </si>
  <si>
    <t>https://www.nature.com/articles/s41586-021-03714-w</t>
  </si>
  <si>
    <t>Sten et al, 2021</t>
  </si>
  <si>
    <t>LC10a (in AOTU)</t>
  </si>
  <si>
    <t>ED10</t>
  </si>
  <si>
    <t>2p gcamp6s</t>
  </si>
  <si>
    <t>5-7</t>
  </si>
  <si>
    <t>https://www.cell.com/cell/fulltext/S0092-8674(25)00037-6</t>
  </si>
  <si>
    <t>Sten et al, 2025</t>
  </si>
  <si>
    <t>P1_12b, P1_4, P1_?</t>
  </si>
  <si>
    <t>7</t>
  </si>
  <si>
    <t>https://www.sciencedirect.com/science/article/pii/S096098221730012X#fig1</t>
  </si>
  <si>
    <t>Keles, Frye, 2017</t>
  </si>
  <si>
    <t>LC11 (in LO and PVLP)</t>
  </si>
  <si>
    <t>2, 3</t>
  </si>
  <si>
    <t>dark moving bar, bright and dark moving square, horizontally moving grating, flicker</t>
  </si>
  <si>
    <t>retinotopy, RF size, polarity</t>
  </si>
  <si>
    <t>https://www.cell.com/cell-reports/fulltext/S2211-1247(20)30086-3</t>
  </si>
  <si>
    <t>Keles et al,2020</t>
  </si>
  <si>
    <t>LC11, T2, T3, T4, T5</t>
  </si>
  <si>
    <t>1, 4</t>
  </si>
  <si>
    <t>2p gcamp6m/f</t>
  </si>
  <si>
    <t>noise, horizontally dark moving square, horizontally bright moving square, horizontally dark moving bar, horizontally moving grating</t>
  </si>
  <si>
    <t>stimulus sensitivity, polarity, ipsi vs contra</t>
  </si>
  <si>
    <t>5-10</t>
  </si>
  <si>
    <t>https://www.cell.com/current-biology/fulltext/S0960-9822(20)30584-4</t>
  </si>
  <si>
    <t>Tanaka, Clark, 2020</t>
  </si>
  <si>
    <t>3, 7</t>
  </si>
  <si>
    <t>horizontally dark moving square, vertically dark moving square, squares of different sizes</t>
  </si>
  <si>
    <t>12-13</t>
  </si>
  <si>
    <t>https://www.cell.com/current-biology/fulltext/S0960-9822(20)30585-6#mmc1</t>
  </si>
  <si>
    <t>Staedele et al, 2020</t>
  </si>
  <si>
    <t>LC12, LC15</t>
  </si>
  <si>
    <t>3, 4, Table S1</t>
  </si>
  <si>
    <t>7-12</t>
  </si>
  <si>
    <t>https://www.cell.com/current-biology/fulltext/S0960-9822(22)00592-9?uuid=uuid%3Ad29cb097-3404-43b2-9b73-42a3c9875432</t>
  </si>
  <si>
    <t>Tanaka, Clark, 2022</t>
  </si>
  <si>
    <t>LPLC1, PLP219, PVLP112/113</t>
  </si>
  <si>
    <t>3, S3, 5, S5</t>
  </si>
  <si>
    <t>2p gcamp6f, jgcamp7b</t>
  </si>
  <si>
    <t>60-80, 11, 10</t>
  </si>
  <si>
    <t>https://elifesciences.org/articles/57685#content</t>
  </si>
  <si>
    <t>Marimoto et al, 2020</t>
  </si>
  <si>
    <t>LC6, LC6-downstream PVLP microglomeruli (PVLP008a, PVLP133)</t>
  </si>
  <si>
    <t>3 w supp1-3, 4, 8</t>
  </si>
  <si>
    <t>random dark square, dark loom at different positions, dark receding disk, bright loom, dark loom annulus, dark random dot loom, dark moving square, dark horizontally moving bar</t>
  </si>
  <si>
    <t>3-7</t>
  </si>
  <si>
    <t>https://elifesciences.org/articles/63225</t>
  </si>
  <si>
    <t>Hardcastle et al, 2021</t>
  </si>
  <si>
    <t>R7-R8d, DmDRA1, MeTu (in AOTU), TuTu, TuBu (in AOTU and BU), ER4m (in BU and EB), ER2 (in BU), E_PG (in PB)</t>
  </si>
  <si>
    <t>1, 3-10</t>
  </si>
  <si>
    <t>polarized light in DRA, flicker, bright horizontally jittering bar, thrust random dots</t>
  </si>
  <si>
    <t>polarotopy, ipsi vs contra, stimulus sensitivity</t>
  </si>
  <si>
    <t>3-10</t>
  </si>
  <si>
    <t>Seelig, Jayaraman, 2013</t>
  </si>
  <si>
    <t>LTR microglomeruli, ER3/ER4d, ER2</t>
  </si>
  <si>
    <t>1, 3, ED1, ED3-8</t>
  </si>
  <si>
    <t>2p gcamp3</t>
  </si>
  <si>
    <t>bright square, bright oriented moving bar, white noise</t>
  </si>
  <si>
    <t>30?, 159?, 219?</t>
  </si>
  <si>
    <t>https://www.nature.com/articles/nn.4581</t>
  </si>
  <si>
    <t>Sun et al, 2017</t>
  </si>
  <si>
    <t>superior TuBu, inferior TuBu, anterior TuBu, ER</t>
  </si>
  <si>
    <t>white noise, bright bars (1 and 2), random bright square (1 and 2)</t>
  </si>
  <si>
    <t>retinotopy, RF size, ipsi vs contra</t>
  </si>
  <si>
    <t>104</t>
  </si>
  <si>
    <t>https://www.cell.com/current-biology/fulltext/S0960-9822(17)30265-8?_returnURL=https%3A%2F%2Flinkinghub.elsevier.com%2Fretrieve%2Fpii%2FS0960982217302658%3Fshowall%3Dtrue</t>
  </si>
  <si>
    <t>Omoto et al, 2017</t>
  </si>
  <si>
    <t>superior TuBu, inferior TuBu</t>
  </si>
  <si>
    <t>5, 6, S1</t>
  </si>
  <si>
    <t>moving bright square</t>
  </si>
  <si>
    <t>136, 104</t>
  </si>
  <si>
    <t>https://www.nature.com/articles/nn.4628#Abs2</t>
  </si>
  <si>
    <t>Shiozaki, Kazama, 2017</t>
  </si>
  <si>
    <t>TuBu and more?</t>
  </si>
  <si>
    <t>3, 4, 5</t>
  </si>
  <si>
    <t>horizontally moving dark bar</t>
  </si>
  <si>
    <t>https://www.nature.com/articles/s41586-019-1772-4#Sec3</t>
  </si>
  <si>
    <t>Fisher et al, 2019</t>
  </si>
  <si>
    <t>ER2, ER4d, EPG</t>
  </si>
  <si>
    <t>1, 3</t>
  </si>
  <si>
    <t>patch clamp</t>
  </si>
  <si>
    <t>bright flashed vertical bar</t>
  </si>
  <si>
    <t>https://www.sciencedirect.com/science/article/pii/S0896627320306139?via%3Dihub#abs0015</t>
  </si>
  <si>
    <t>Turner-Evans et al, 2020</t>
  </si>
  <si>
    <t>EPG, ER4d</t>
  </si>
  <si>
    <t>S9</t>
  </si>
  <si>
    <t>2p gcamp8f</t>
  </si>
  <si>
    <t>horizontally moving bright bar</t>
  </si>
  <si>
    <t>https://www.nature.com/articles/s41586-024-07967-z#Fig7</t>
  </si>
  <si>
    <t>Garner et al, 2024</t>
  </si>
  <si>
    <t>ER2, ER4d</t>
  </si>
  <si>
    <t>5</t>
  </si>
  <si>
    <t>bright flashed square</t>
  </si>
  <si>
    <t>https://www.sciencedirect.com/science/article/pii/S0896627320304761?via%3Dihub#mmc1</t>
  </si>
  <si>
    <t>Okubo et al, 2020</t>
  </si>
  <si>
    <t>ER1, ER3a, LAL138?</t>
  </si>
  <si>
    <t>S7</t>
  </si>
  <si>
    <t>flash?</t>
  </si>
  <si>
    <t>https://www.jneurosci.org/content/43/26/4821</t>
  </si>
  <si>
    <t>Duan et al, 2023</t>
  </si>
  <si>
    <t>superior TuBu, superior ER (ER4d), inferior ER (ER3)</t>
  </si>
  <si>
    <t>2, 3, 7</t>
  </si>
  <si>
    <t>moving bright square, moving random dot bar, moving bright bar</t>
  </si>
  <si>
    <t>39, 68, 48, 38, 46</t>
  </si>
  <si>
    <t>https://elifesciences.org/articles/14009#content</t>
  </si>
  <si>
    <t>Vogt et al, 2016</t>
  </si>
  <si>
    <t>KCgd, KCa/b</t>
  </si>
  <si>
    <t>2</t>
  </si>
  <si>
    <t>blue, green LED</t>
  </si>
  <si>
    <t>24, 22</t>
  </si>
  <si>
    <t>https://www.jneurosci.org/content/36/46/11768?utm_source=TrendMD&amp;utm_medium=cpc&amp;utm_campaign=JNeurosci_TrendMD_0</t>
  </si>
  <si>
    <t>Suver et al, 2016</t>
  </si>
  <si>
    <t>HS, VS, DNp20, DNp22, DNp15, DNp17?</t>
  </si>
  <si>
    <t>rotating starfield, translating starfield, moving grating</t>
  </si>
  <si>
    <t>stimulus sensitivity</t>
  </si>
  <si>
    <t>8-11</t>
  </si>
  <si>
    <t>https://www.nature.com/articles/s41593-025-01948-9#Abs1</t>
  </si>
  <si>
    <t>Erginkaya et al, 2025</t>
  </si>
  <si>
    <t>HS, DNp15, PS321</t>
  </si>
  <si>
    <t>4-13</t>
  </si>
  <si>
    <t>https://www.sciencedirect.com/science/article/pii/S0960982222000197</t>
  </si>
  <si>
    <t>Namiki et al, 2022</t>
  </si>
  <si>
    <t>DNg02</t>
  </si>
  <si>
    <t>4, S3-S4</t>
  </si>
  <si>
    <t>20</t>
  </si>
  <si>
    <t>https://www.sciencedirect.com/science/article/pii/S0960982224016415#abs0020</t>
  </si>
  <si>
    <t>Buchsbaum, Schnell, 2025</t>
  </si>
  <si>
    <t>DNp03</t>
  </si>
  <si>
    <t>1, 2, S2, S3</t>
  </si>
  <si>
    <t>6-10</t>
  </si>
  <si>
    <t>https://www.cell.com/current-biology/fulltext/S0960-9822(25)01542-8</t>
  </si>
  <si>
    <t>Croke et al, 2026</t>
  </si>
  <si>
    <t>9-14</t>
  </si>
  <si>
    <t>https://www.sciencedirect.com/science/article/pii/S0960982219301381#abs0020</t>
  </si>
  <si>
    <t>Ache et al, 2019</t>
  </si>
  <si>
    <t>DNp01</t>
  </si>
  <si>
    <t>2, S3</t>
  </si>
  <si>
    <t>dark loom at one position</t>
  </si>
  <si>
    <t>size tuning (RF size?)</t>
  </si>
  <si>
    <r>
      <rPr>
        <u/>
        <sz val="10"/>
        <color rgb="FF1155CC"/>
        <rFont val="Arial"/>
      </rPr>
      <t>https://www.nature.com/articles/s41593-019-0413-4</t>
    </r>
  </si>
  <si>
    <t>DNp07, DNp10</t>
  </si>
  <si>
    <t>Fig. 3</t>
  </si>
  <si>
    <t>dark horizontally moving bar</t>
  </si>
  <si>
    <t>?</t>
  </si>
  <si>
    <t>https://pmc.ncbi.nlm.nih.gov/articles/PMC10263144/</t>
  </si>
  <si>
    <t>Jang et al, 2023</t>
  </si>
  <si>
    <t>DNp01, DNp02, DNp06</t>
  </si>
  <si>
    <t>1, 2</t>
  </si>
  <si>
    <t>dark loom at different positions</t>
  </si>
  <si>
    <t>ipsi vs lateral</t>
  </si>
  <si>
    <t>1?</t>
  </si>
  <si>
    <t>https://www.nature.com/articles/s41586-022-05562-8#Abs1</t>
  </si>
  <si>
    <t>Dombrovski et al, 2023</t>
  </si>
  <si>
    <t>DNp02, DNp11, DNp01, DNp04</t>
  </si>
  <si>
    <t>3, ED4</t>
  </si>
  <si>
    <t>dark loom arrays at different positions</t>
  </si>
  <si>
    <t>azimuthal RF location</t>
  </si>
  <si>
    <t>https://www.cell.com/cell/fulltext/S0092-8674(16)30404-4</t>
  </si>
  <si>
    <t>Liu et al, 2016</t>
  </si>
  <si>
    <t>ER5, ExR1?</t>
  </si>
  <si>
    <t>https://www.cell.com/neuron/fulltext/S0896-6273(19)30291-0?_returnURL=https%3A%2F%2Flinkinghub.elsevier.com%2Fretrieve%2Fpii%2FS0896627319302910%3Fshowall%3Dtrue#fig1</t>
  </si>
  <si>
    <t>Liang et al, 2019</t>
  </si>
  <si>
    <t>ER1, ER2, ER3, ER4m, DN1, DN3, LNd, I-LNv, s-LNv, PPM3</t>
  </si>
  <si>
    <t>3, 4, 5, S5</t>
  </si>
  <si>
    <t>Light-dark cycle</t>
  </si>
  <si>
    <t>5-6</t>
  </si>
  <si>
    <t>https://www.jneurosci.org/content/36/35/9084.long</t>
  </si>
  <si>
    <t>Schlichting et al, 2016</t>
  </si>
  <si>
    <t>I-LNv, s-LNv</t>
  </si>
  <si>
    <t>2, 4</t>
  </si>
  <si>
    <t>2p gcamp3, patch clamp</t>
  </si>
  <si>
    <t>HB eyelet excitation?</t>
  </si>
  <si>
    <t>13-20</t>
  </si>
  <si>
    <t>https://www.pnas.org/doi/10.1073/pnas.2109969119?url_ver=Z39.88-2003&amp;rfr_id=ori:rid:crossref.org&amp;rfr_dat=cr_pub%20%200pubmed</t>
  </si>
  <si>
    <t>Liang et al, 2022</t>
  </si>
  <si>
    <t>DN1, DN3, LNd, I-LNv, s-LNv</t>
  </si>
  <si>
    <t>1</t>
  </si>
  <si>
    <t>6</t>
  </si>
  <si>
    <r>
      <rPr>
        <u/>
        <sz val="12"/>
        <color rgb="FF1155CC"/>
        <rFont val="Aptos, sans-serif"/>
      </rPr>
      <t>https://www.nature.com/articles/s41467-018-06506-5</t>
    </r>
  </si>
  <si>
    <t>Li et al, 2018</t>
  </si>
  <si>
    <t>I-LNv, s-LNv, LNd, DN1a, DN1p, DN3</t>
  </si>
  <si>
    <t>mainly Fig 2</t>
  </si>
  <si>
    <t>light responses of isolated brains with eyes still attached</t>
  </si>
  <si>
    <t>4-38 neurons per type (Fig 2 only)</t>
  </si>
  <si>
    <t>https://www.cell.com/current-biology/fulltext/S0960-9822(20)30552-2</t>
  </si>
  <si>
    <t>Alpert et al, 2020</t>
  </si>
  <si>
    <t>DN1a</t>
  </si>
  <si>
    <t>mainly about temperature responses but also has light response data</t>
  </si>
  <si>
    <t>Light sensitivity</t>
  </si>
  <si>
    <t>LC11</t>
  </si>
  <si>
    <t>Keles, Frye, 2017, Fig. 1</t>
  </si>
  <si>
    <t>LC10a</t>
  </si>
  <si>
    <t>Ribeiro et al, 2018, Fig. 4</t>
  </si>
  <si>
    <t>LPLC2</t>
  </si>
  <si>
    <t>Klapoetke et al, 2022, Fig. 2</t>
  </si>
  <si>
    <t>LC4</t>
  </si>
  <si>
    <t>LC12</t>
  </si>
  <si>
    <t>Staedele et al, 2020, Fig. 1</t>
  </si>
  <si>
    <t>LC13</t>
  </si>
  <si>
    <t>LC15</t>
  </si>
  <si>
    <t>LC16</t>
  </si>
  <si>
    <t>LC21</t>
  </si>
  <si>
    <t>Staedele et al, 2020, Fig. S1</t>
  </si>
  <si>
    <t>LC25</t>
  </si>
  <si>
    <t>LC26</t>
  </si>
  <si>
    <t>LC18</t>
  </si>
  <si>
    <t>LPLC1</t>
  </si>
  <si>
    <t>LC17</t>
  </si>
  <si>
    <t>LC9</t>
  </si>
  <si>
    <t>Turner et al, 2022, Fig. 3</t>
  </si>
  <si>
    <t>LC6</t>
  </si>
  <si>
    <t>Marimoto et al, 2020, Fig. 4</t>
  </si>
  <si>
    <t>PVLP133</t>
  </si>
  <si>
    <t xml:space="preserve"> </t>
  </si>
  <si>
    <t>Sten et al, 2021, ED Fig. 10</t>
  </si>
  <si>
    <t>pC1x</t>
  </si>
  <si>
    <t>N?</t>
  </si>
  <si>
    <t>Sten et al, 2025, Fig. 7</t>
  </si>
  <si>
    <t>PLP219</t>
  </si>
  <si>
    <t>Tanaka, Clark, 2022, Fig. 5</t>
  </si>
  <si>
    <t>PVLP112, PVLP113</t>
  </si>
  <si>
    <t>Tanaka, Clark, 2022, Fig. S5</t>
  </si>
  <si>
    <t>MeTu1?, MeTu2a?</t>
  </si>
  <si>
    <t>Hardcastle et al, 2021, Fig. 3</t>
  </si>
  <si>
    <t>MeTu3c?</t>
  </si>
  <si>
    <t>Hardcastle et al, 2021, Appendix 1 Fig. 1</t>
  </si>
  <si>
    <t>TuTuB</t>
  </si>
  <si>
    <t>TuBu01</t>
  </si>
  <si>
    <t>TuBu02, TuBu03, TuBu04</t>
  </si>
  <si>
    <t>Omoto et al, 2017, Fig. 6</t>
  </si>
  <si>
    <t>TuBu05, TuBu06, TuBu07, TuBu08, TuBu09, TuBu10</t>
  </si>
  <si>
    <t>Omoto et al, 2017, Fig. 5</t>
  </si>
  <si>
    <t>ER1</t>
  </si>
  <si>
    <t>Okubo et al, 2020, Fig. S7</t>
  </si>
  <si>
    <t>ER2</t>
  </si>
  <si>
    <t>Seelig, Jayaraman, 2013, Fig. 2</t>
  </si>
  <si>
    <t>ER4d, ER3?</t>
  </si>
  <si>
    <t>Seelig, Jayaraman, 2013, Fig. 3</t>
  </si>
  <si>
    <t>ER3</t>
  </si>
  <si>
    <t>Shiozaki, Kazama, 2017, Fig. 3</t>
  </si>
  <si>
    <t>ER4m</t>
  </si>
  <si>
    <t>EPG</t>
  </si>
  <si>
    <t>Fisher et al, 2019, Fig. 1</t>
  </si>
  <si>
    <t>ER5?</t>
  </si>
  <si>
    <t>Liu et al, 2016, Fig. 2</t>
  </si>
  <si>
    <t>ExR1?</t>
  </si>
  <si>
    <t>Liang et al, 2019, Fig. 1</t>
  </si>
  <si>
    <t>Liang et al, 2019, Fig. S5</t>
  </si>
  <si>
    <t>ExR2?</t>
  </si>
  <si>
    <t>Liang et al, 2019, Fig. 5</t>
  </si>
  <si>
    <t>KCg-d</t>
  </si>
  <si>
    <t>Vogt et al, 2016, Fig. 2</t>
  </si>
  <si>
    <t>KCab</t>
  </si>
  <si>
    <t>DNp20</t>
  </si>
  <si>
    <t>Suver et al, 2016, Fig. 3</t>
  </si>
  <si>
    <t>DNp22</t>
  </si>
  <si>
    <t>DNp15</t>
  </si>
  <si>
    <t>VS</t>
  </si>
  <si>
    <t>Suver et al, 2016, Fig. 4</t>
  </si>
  <si>
    <t>HS</t>
  </si>
  <si>
    <t>PS321</t>
  </si>
  <si>
    <t>Erginkaya et al, 2025, Fig. 4</t>
  </si>
  <si>
    <t>Namiki et al, 2022, Fig. 4</t>
  </si>
  <si>
    <t>Ache et al, Curr. Biol. 2019, Fig.2</t>
  </si>
  <si>
    <t>Buchsbaum, Schnell, 2025, Fig. 1</t>
  </si>
  <si>
    <t>DNp02</t>
  </si>
  <si>
    <t>Dombrovski et al, 2023, Fig. 3</t>
  </si>
  <si>
    <t>DNp11</t>
  </si>
  <si>
    <t>DNp06</t>
  </si>
  <si>
    <t>Jang et al, 2023, Fig. 1</t>
  </si>
  <si>
    <t>DNp07</t>
  </si>
  <si>
    <t>Ache et al, Nat. Neurosci. 2019, Fig. 3</t>
  </si>
  <si>
    <t>DNp10</t>
  </si>
  <si>
    <t>s-LNv</t>
  </si>
  <si>
    <t>Schlichting et al, 2016, Fig. 2</t>
  </si>
  <si>
    <t>l-LNv</t>
  </si>
  <si>
    <t>Li et al, 2018, Fig. 2</t>
  </si>
  <si>
    <t>5thsLNv_LNd6</t>
  </si>
  <si>
    <t>SLP249</t>
  </si>
  <si>
    <t>LNd_b</t>
  </si>
  <si>
    <t>DN1pA, DN1pB</t>
  </si>
  <si>
    <t>SLP463</t>
  </si>
  <si>
    <t>LNd_c</t>
  </si>
  <si>
    <t>polarization</t>
  </si>
  <si>
    <t>UV</t>
  </si>
  <si>
    <t>time-of-day</t>
  </si>
  <si>
    <t>OFF</t>
  </si>
  <si>
    <t>ON</t>
  </si>
  <si>
    <t>OFF?</t>
  </si>
  <si>
    <t>ON?</t>
  </si>
  <si>
    <t>y</t>
  </si>
  <si>
    <t>FWHMx</t>
  </si>
  <si>
    <t>FWHMy</t>
  </si>
  <si>
    <t>sx</t>
  </si>
  <si>
    <t>sy</t>
  </si>
  <si>
    <t>size</t>
  </si>
  <si>
    <t>Klapoetke et al, 2022, Table S4</t>
  </si>
  <si>
    <t>Ribeiro et al, 2018, Fig 5</t>
  </si>
  <si>
    <t>Marimoto et al, 2020, Fig 3 Supp 3</t>
  </si>
  <si>
    <t>Marimoto et al, 2020, Fig 3 Supp 1</t>
  </si>
  <si>
    <t>ER2_?</t>
  </si>
  <si>
    <t>Seelig, Jayaraman, 2013, ED Fig. 7</t>
  </si>
  <si>
    <t>TuBu_s?</t>
  </si>
  <si>
    <t>Sun et al, 2017, Fig. 2</t>
  </si>
  <si>
    <t>ER?</t>
  </si>
  <si>
    <t>Duan et al, 2023, Fig. 3</t>
  </si>
  <si>
    <t>Duan et al, 2023, Fig. 2</t>
  </si>
  <si>
    <t>ER4d</t>
  </si>
  <si>
    <t>Duan et al, 2023, Fig. 7</t>
  </si>
  <si>
    <t>ER2_c</t>
  </si>
  <si>
    <t>Garner et al, 2024, Fig. 5</t>
  </si>
  <si>
    <t>Garner et al, 2024, Fig 5</t>
  </si>
  <si>
    <t>contra</t>
  </si>
  <si>
    <t>Keles, Frye, 2017, Fig. 2</t>
  </si>
  <si>
    <t>Staedele et al, 2020, Fig. 4</t>
  </si>
  <si>
    <t>Tanaka, Clark, 2022, Fig. S3</t>
  </si>
  <si>
    <t>Marimoto et al, 2020, Fig. 3</t>
  </si>
  <si>
    <t>Marimoto et al, 2020, Fig. 8</t>
  </si>
  <si>
    <t>Hardcastle et al, 2021, Fig. 4</t>
  </si>
  <si>
    <t>Seelig, Jayaraman, 2013, Fig. 1</t>
  </si>
  <si>
    <t>D</t>
  </si>
  <si>
    <t>V</t>
  </si>
  <si>
    <t>C</t>
  </si>
  <si>
    <t>A</t>
  </si>
  <si>
    <t>P</t>
  </si>
  <si>
    <t>Y?</t>
  </si>
  <si>
    <t>Marimoto et al, 2020, Fig. 3 Supp 3</t>
  </si>
  <si>
    <t>Seelig, Jayaraman, 2013, ED Fig. 4</t>
  </si>
  <si>
    <r>
      <rPr>
        <u/>
        <sz val="10"/>
        <color rgb="FF312CF4"/>
        <rFont val="&quot;Aptos Narrow&quot;, sans-serif"/>
      </rPr>
      <t>https://www.nature.com/articles/nature12601</t>
    </r>
  </si>
  <si>
    <t>Mi1</t>
  </si>
  <si>
    <t>Tm3</t>
  </si>
  <si>
    <t>Mi4</t>
  </si>
  <si>
    <t>Mi9</t>
  </si>
  <si>
    <t>Tm1</t>
  </si>
  <si>
    <t>Tm2</t>
  </si>
  <si>
    <t>Tm4</t>
  </si>
  <si>
    <t>Tm9</t>
  </si>
  <si>
    <t>L1</t>
  </si>
  <si>
    <t>L2</t>
  </si>
  <si>
    <t>L3</t>
  </si>
  <si>
    <t>L4</t>
  </si>
  <si>
    <t>L5</t>
  </si>
  <si>
    <t>T4a</t>
  </si>
  <si>
    <t>T5a</t>
  </si>
  <si>
    <t>Arenz et al, 2017, Fig 2</t>
  </si>
  <si>
    <t>Drews et al, 2020, Fig S3</t>
  </si>
  <si>
    <t>Haag et al, 2016, Fig 2</t>
  </si>
  <si>
    <t>8 ME types</t>
  </si>
  <si>
    <t>Arenz et al, 2017</t>
  </si>
  <si>
    <t xml:space="preserve">https://pubmed.ncbi.nlm.nih.gov/28343964/ </t>
  </si>
  <si>
    <t>5 LA types</t>
  </si>
  <si>
    <t>Drews et al, 2020</t>
  </si>
  <si>
    <t>https://pubmed.ncbi.nlm.nih.gov/31928873/</t>
  </si>
  <si>
    <t>T4, T5</t>
  </si>
  <si>
    <t>https://www.cell.com/cell/abstract/S0092-8674(25)00518-5</t>
  </si>
  <si>
    <t>41 ME types</t>
  </si>
  <si>
    <t>Mi2</t>
  </si>
  <si>
    <t>Dm16</t>
  </si>
  <si>
    <t>TmY9a</t>
  </si>
  <si>
    <t>Dm3b</t>
  </si>
  <si>
    <t>Mi14</t>
  </si>
  <si>
    <t>TmY5a</t>
  </si>
  <si>
    <t>Tm20</t>
  </si>
  <si>
    <t>TmY14</t>
  </si>
  <si>
    <t>Pm3</t>
  </si>
  <si>
    <t>Dm3a</t>
  </si>
  <si>
    <t>T3</t>
  </si>
  <si>
    <t>TmY10</t>
  </si>
  <si>
    <t>T2a</t>
  </si>
  <si>
    <t>Pm5</t>
  </si>
  <si>
    <t>Dm15</t>
  </si>
  <si>
    <t>Dm3c</t>
  </si>
  <si>
    <t>TmY16</t>
  </si>
  <si>
    <t>Pm1</t>
  </si>
  <si>
    <t>Dm13</t>
  </si>
  <si>
    <t>C2</t>
  </si>
  <si>
    <t>Tm29</t>
  </si>
  <si>
    <t>Y13</t>
  </si>
  <si>
    <t>Tm5b</t>
  </si>
  <si>
    <t>Mi15</t>
  </si>
  <si>
    <t>T2</t>
  </si>
  <si>
    <t>Dm2</t>
  </si>
  <si>
    <t>C3</t>
  </si>
  <si>
    <t>TmY3</t>
  </si>
  <si>
    <t>TmY18</t>
  </si>
  <si>
    <t>Tm12</t>
  </si>
  <si>
    <t>Currier, Clandinin, 2025</t>
  </si>
  <si>
    <t>Currier, Clandinin, 2025, Fig 5d</t>
  </si>
  <si>
    <t>mean_short_axis</t>
  </si>
  <si>
    <t>sem_short_axis</t>
  </si>
  <si>
    <t>mean_long_axis</t>
  </si>
  <si>
    <t>sem_long_axis</t>
  </si>
  <si>
    <t>size_center</t>
  </si>
  <si>
    <t>size_ellipse</t>
  </si>
  <si>
    <t>TuBu06, TuBu07, TuBu08, TuBu09, TuBu10</t>
  </si>
  <si>
    <t>TuBu02, TuBu03, TuBu04, TuBu05</t>
  </si>
  <si>
    <t>Gruntman et al, 2018, Fig 2</t>
  </si>
  <si>
    <t>Gruntman et al, 2019, Fig 2</t>
  </si>
  <si>
    <t>https://elifesciences.org/articles/17421, https://www.nature.com/articles/s41593-017-0046-4#Abs1, https://elifesciences.org/articles/50706#content</t>
  </si>
  <si>
    <t>Haag et al, 2016; Gruntman et al, 2018; Gruntman et al, 2019</t>
  </si>
  <si>
    <t>DNg02_a, DNg02_b, DNg02_c, DNg02_d, DNg02_e, DNg02_f</t>
  </si>
  <si>
    <t>PVLP008_a1, PVLP008_a2, PVLP008_a3, PVLP008_a4</t>
  </si>
  <si>
    <t>pC1_12b, pC1_4, pC1_?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</si>
</sst>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sz val="10"/>
      <color rgb="FF6AA84F"/>
      <name val="Arial"/>
      <scheme val="minor"/>
    </font>
    <font>
      <u/>
      <sz val="10"/>
      <color rgb="FF1155CC"/>
      <name val="Arial"/>
    </font>
    <font>
      <u/>
      <sz val="12"/>
      <color rgb="FF1155CC"/>
      <name val="Aptos, sans-serif"/>
    </font>
    <font>
      <u/>
      <sz val="10"/>
      <color rgb="FF312CF4"/>
      <name val="Arial"/>
      <family val="2"/>
    </font>
    <font>
      <u/>
      <sz val="10"/>
      <color rgb="FF312CF4"/>
      <name val="&quot;Aptos Narrow&quot;, sans-serif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2" fillId="0" borderId="0" xfId="0" applyFont="1" applyAlignment="1">
      <alignment horizontal="right"/>
    </xf>
    <xf numFmtId="0" fontId="16" fillId="0" borderId="0" xfId="0" applyFont="1"/>
    <xf numFmtId="0" fontId="17" fillId="0" borderId="0" xfId="0" applyFont="1"/>
    <xf numFmtId="0" fontId="15" fillId="0" borderId="0" xfId="1"/>
    <xf numFmtId="0" fontId="18" fillId="0" borderId="0" xfId="1" applyFont="1"/>
    <xf numFmtId="49" fontId="16" fillId="0" borderId="0" xfId="0" applyNumberFormat="1" applyFont="1"/>
    <xf numFmtId="0" fontId="1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12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ature.com/articles/nature12601" TargetMode="External"/><Relationship Id="rId18" Type="http://schemas.openxmlformats.org/officeDocument/2006/relationships/hyperlink" Target="https://www.sciencedirect.com/science/article/pii/S0896627320306139?via%3Dihub" TargetMode="External"/><Relationship Id="rId26" Type="http://schemas.openxmlformats.org/officeDocument/2006/relationships/hyperlink" Target="https://www.sciencedirect.com/science/article/pii/S0960982224016415" TargetMode="External"/><Relationship Id="rId39" Type="http://schemas.openxmlformats.org/officeDocument/2006/relationships/hyperlink" Target="https://pubmed.ncbi.nlm.nih.gov/31928873/" TargetMode="External"/><Relationship Id="rId21" Type="http://schemas.openxmlformats.org/officeDocument/2006/relationships/hyperlink" Target="https://www.jneurosci.org/content/43/26/4821" TargetMode="External"/><Relationship Id="rId34" Type="http://schemas.openxmlformats.org/officeDocument/2006/relationships/hyperlink" Target="https://www.jneurosci.org/content/36/35/9084.long" TargetMode="External"/><Relationship Id="rId7" Type="http://schemas.openxmlformats.org/officeDocument/2006/relationships/hyperlink" Target="https://www.cell.com/cell-reports/fulltext/S2211-1247(20)30086-3" TargetMode="External"/><Relationship Id="rId2" Type="http://schemas.openxmlformats.org/officeDocument/2006/relationships/hyperlink" Target="https://elifesciences.org/articles/82587" TargetMode="External"/><Relationship Id="rId16" Type="http://schemas.openxmlformats.org/officeDocument/2006/relationships/hyperlink" Target="https://www.nature.com/articles/nn.4628" TargetMode="External"/><Relationship Id="rId20" Type="http://schemas.openxmlformats.org/officeDocument/2006/relationships/hyperlink" Target="https://www.sciencedirect.com/science/article/pii/S0896627320304761?via%3Dihub" TargetMode="External"/><Relationship Id="rId29" Type="http://schemas.openxmlformats.org/officeDocument/2006/relationships/hyperlink" Target="https://www.nature.com/articles/s41593-019-0413-4" TargetMode="External"/><Relationship Id="rId41" Type="http://schemas.openxmlformats.org/officeDocument/2006/relationships/hyperlink" Target="https://elifesciences.org/articles/17421" TargetMode="External"/><Relationship Id="rId1" Type="http://schemas.openxmlformats.org/officeDocument/2006/relationships/hyperlink" Target="https://www.sciencedirect.com/science/article/pii/S0896627322001787" TargetMode="External"/><Relationship Id="rId6" Type="http://schemas.openxmlformats.org/officeDocument/2006/relationships/hyperlink" Target="https://www.sciencedirect.com/science/article/pii/S096098221730012X" TargetMode="External"/><Relationship Id="rId11" Type="http://schemas.openxmlformats.org/officeDocument/2006/relationships/hyperlink" Target="https://elifesciences.org/articles/57685" TargetMode="External"/><Relationship Id="rId24" Type="http://schemas.openxmlformats.org/officeDocument/2006/relationships/hyperlink" Target="https://www.nature.com/articles/s41593-025-01948-9" TargetMode="External"/><Relationship Id="rId32" Type="http://schemas.openxmlformats.org/officeDocument/2006/relationships/hyperlink" Target="https://www.cell.com/cell/fulltext/S0092-8674(16)30404-4" TargetMode="External"/><Relationship Id="rId37" Type="http://schemas.openxmlformats.org/officeDocument/2006/relationships/hyperlink" Target="https://www.cell.com/current-biology/fulltext/S0960-9822(20)30552-2" TargetMode="External"/><Relationship Id="rId40" Type="http://schemas.openxmlformats.org/officeDocument/2006/relationships/hyperlink" Target="https://www.cell.com/cell/abstract/S0092-8674(25)00518-5" TargetMode="External"/><Relationship Id="rId5" Type="http://schemas.openxmlformats.org/officeDocument/2006/relationships/hyperlink" Target="https://www.cell.com/cell/fulltext/S0092-8674(25)00037-6" TargetMode="External"/><Relationship Id="rId15" Type="http://schemas.openxmlformats.org/officeDocument/2006/relationships/hyperlink" Target="https://www.cell.com/current-biology/fulltext/S0960-9822(17)30265-8?_returnURL=https%3A%2F%2Flinkinghub.elsevier.com%2Fretrieve%2Fpii%2FS0960982217302658%3Fshowall%3Dtrue" TargetMode="External"/><Relationship Id="rId23" Type="http://schemas.openxmlformats.org/officeDocument/2006/relationships/hyperlink" Target="https://www.jneurosci.org/content/36/46/11768?utm_source=TrendMD&amp;utm_medium=cpc&amp;utm_campaign=JNeurosci_TrendMD_0" TargetMode="External"/><Relationship Id="rId28" Type="http://schemas.openxmlformats.org/officeDocument/2006/relationships/hyperlink" Target="https://www.sciencedirect.com/science/article/pii/S0960982219301381" TargetMode="External"/><Relationship Id="rId36" Type="http://schemas.openxmlformats.org/officeDocument/2006/relationships/hyperlink" Target="https://www.nature.com/articles/s41467-018-06506-5" TargetMode="External"/><Relationship Id="rId10" Type="http://schemas.openxmlformats.org/officeDocument/2006/relationships/hyperlink" Target="https://www.cell.com/current-biology/fulltext/S0960-9822(22)00592-9?uuid=uuid%3Ad29cb097-3404-43b2-9b73-42a3c9875432" TargetMode="External"/><Relationship Id="rId19" Type="http://schemas.openxmlformats.org/officeDocument/2006/relationships/hyperlink" Target="https://www.nature.com/articles/s41586-024-07967-z" TargetMode="External"/><Relationship Id="rId31" Type="http://schemas.openxmlformats.org/officeDocument/2006/relationships/hyperlink" Target="https://www.nature.com/articles/s41586-022-05562-8" TargetMode="External"/><Relationship Id="rId4" Type="http://schemas.openxmlformats.org/officeDocument/2006/relationships/hyperlink" Target="https://www.nature.com/articles/s41586-021-03714-w" TargetMode="External"/><Relationship Id="rId9" Type="http://schemas.openxmlformats.org/officeDocument/2006/relationships/hyperlink" Target="https://www.cell.com/current-biology/fulltext/S0960-9822(20)30585-6" TargetMode="External"/><Relationship Id="rId14" Type="http://schemas.openxmlformats.org/officeDocument/2006/relationships/hyperlink" Target="https://www.nature.com/articles/nn.4581" TargetMode="External"/><Relationship Id="rId22" Type="http://schemas.openxmlformats.org/officeDocument/2006/relationships/hyperlink" Target="https://elifesciences.org/articles/14009" TargetMode="External"/><Relationship Id="rId27" Type="http://schemas.openxmlformats.org/officeDocument/2006/relationships/hyperlink" Target="https://www.cell.com/current-biology/fulltext/S0960-9822(25)01542-8" TargetMode="External"/><Relationship Id="rId30" Type="http://schemas.openxmlformats.org/officeDocument/2006/relationships/hyperlink" Target="https://pmc.ncbi.nlm.nih.gov/articles/PMC10263144/" TargetMode="External"/><Relationship Id="rId35" Type="http://schemas.openxmlformats.org/officeDocument/2006/relationships/hyperlink" Target="https://www.pnas.org/doi/10.1073/pnas.2109969119?url_ver=Z39.88-2003&amp;rfr_id=ori:rid:crossref.org&amp;rfr_dat=cr_pub%20%200pubmed" TargetMode="External"/><Relationship Id="rId8" Type="http://schemas.openxmlformats.org/officeDocument/2006/relationships/hyperlink" Target="https://www.cell.com/current-biology/fulltext/S0960-9822(20)30584-4" TargetMode="External"/><Relationship Id="rId3" Type="http://schemas.openxmlformats.org/officeDocument/2006/relationships/hyperlink" Target="https://www.cell.com/cell/fulltext/S0092-8674(18)30788-8" TargetMode="External"/><Relationship Id="rId12" Type="http://schemas.openxmlformats.org/officeDocument/2006/relationships/hyperlink" Target="https://elifesciences.org/articles/63225" TargetMode="External"/><Relationship Id="rId17" Type="http://schemas.openxmlformats.org/officeDocument/2006/relationships/hyperlink" Target="https://www.nature.com/articles/s41586-019-1772-4" TargetMode="External"/><Relationship Id="rId25" Type="http://schemas.openxmlformats.org/officeDocument/2006/relationships/hyperlink" Target="https://www.sciencedirect.com/science/article/pii/S0960982222000197" TargetMode="External"/><Relationship Id="rId33" Type="http://schemas.openxmlformats.org/officeDocument/2006/relationships/hyperlink" Target="https://www.cell.com/neuron/fulltext/S0896-6273(19)30291-0?_returnURL=https%3A%2F%2Flinkinghub.elsevier.com%2Fretrieve%2Fpii%2FS0896627319302910%3Fshowall%3Dtrue" TargetMode="External"/><Relationship Id="rId38" Type="http://schemas.openxmlformats.org/officeDocument/2006/relationships/hyperlink" Target="https://pubmed.ncbi.nlm.nih.gov/2834396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9"/>
  <sheetViews>
    <sheetView workbookViewId="0">
      <pane ySplit="1" topLeftCell="A2" activePane="bottomLeft" state="frozen"/>
      <selection pane="bottomLeft" activeCell="A4" sqref="A4"/>
    </sheetView>
  </sheetViews>
  <sheetFormatPr defaultColWidth="12.6640625" defaultRowHeight="15.75" customHeight="1"/>
  <cols>
    <col min="1" max="1" width="70.6640625" customWidth="1"/>
    <col min="2" max="2" width="20.88671875" customWidth="1"/>
    <col min="3" max="3" width="51.109375" customWidth="1"/>
    <col min="4" max="4" width="29.88671875" customWidth="1"/>
    <col min="10" max="10" width="18.33203125" customWidth="1"/>
    <col min="11" max="11" width="15.77734375" customWidth="1"/>
    <col min="12" max="12" width="51.88671875" customWidth="1"/>
    <col min="13" max="13" width="22.77734375" customWidth="1"/>
    <col min="14" max="14" width="13.77734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16" customFormat="1">
      <c r="A2" s="17" t="s">
        <v>389</v>
      </c>
      <c r="B2" s="15" t="s">
        <v>388</v>
      </c>
      <c r="C2" s="15" t="s">
        <v>387</v>
      </c>
      <c r="D2" s="15" t="s">
        <v>17</v>
      </c>
      <c r="E2" s="15" t="s">
        <v>18</v>
      </c>
      <c r="F2" s="15" t="s">
        <v>17</v>
      </c>
      <c r="G2" s="15" t="s">
        <v>18</v>
      </c>
      <c r="H2" s="15" t="s">
        <v>18</v>
      </c>
      <c r="I2" s="15"/>
      <c r="J2" s="19"/>
      <c r="K2" s="15"/>
      <c r="L2" s="15"/>
      <c r="M2" s="15"/>
      <c r="N2" s="19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s="16" customFormat="1">
      <c r="A3" s="18" t="s">
        <v>386</v>
      </c>
      <c r="B3" s="16" t="s">
        <v>385</v>
      </c>
      <c r="C3" s="15" t="s">
        <v>384</v>
      </c>
      <c r="D3" s="15" t="s">
        <v>17</v>
      </c>
      <c r="E3" s="15" t="s">
        <v>18</v>
      </c>
      <c r="F3" s="15" t="s">
        <v>17</v>
      </c>
      <c r="G3" s="15" t="s">
        <v>18</v>
      </c>
      <c r="H3" s="15" t="s">
        <v>18</v>
      </c>
      <c r="I3" s="15"/>
      <c r="J3" s="19"/>
      <c r="K3" s="15"/>
      <c r="L3" s="15"/>
      <c r="M3" s="15"/>
      <c r="N3" s="19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s="16" customFormat="1">
      <c r="A4" s="17" t="s">
        <v>435</v>
      </c>
      <c r="B4" s="16" t="s">
        <v>436</v>
      </c>
      <c r="C4" s="15" t="s">
        <v>390</v>
      </c>
      <c r="D4" s="15" t="s">
        <v>17</v>
      </c>
      <c r="E4" s="15" t="s">
        <v>18</v>
      </c>
      <c r="F4" s="15" t="s">
        <v>17</v>
      </c>
      <c r="G4" s="15" t="s">
        <v>18</v>
      </c>
      <c r="H4" s="15" t="s">
        <v>18</v>
      </c>
      <c r="I4" s="15"/>
      <c r="J4" s="19"/>
      <c r="K4" s="15"/>
      <c r="L4" s="15"/>
      <c r="M4" s="15"/>
      <c r="N4" s="19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s="16" customFormat="1">
      <c r="A5" s="17" t="s">
        <v>391</v>
      </c>
      <c r="B5" s="16" t="s">
        <v>423</v>
      </c>
      <c r="C5" s="15" t="s">
        <v>392</v>
      </c>
      <c r="D5" s="15" t="s">
        <v>17</v>
      </c>
      <c r="E5" s="15" t="s">
        <v>18</v>
      </c>
      <c r="F5" s="15" t="s">
        <v>17</v>
      </c>
      <c r="G5" s="15" t="s">
        <v>18</v>
      </c>
      <c r="H5" s="15" t="s">
        <v>18</v>
      </c>
      <c r="I5" s="15"/>
      <c r="J5" s="19"/>
      <c r="K5" s="15"/>
      <c r="L5" s="15"/>
      <c r="M5" s="15"/>
      <c r="N5" s="19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>
      <c r="A6" s="3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17</v>
      </c>
      <c r="G6" s="4" t="s">
        <v>18</v>
      </c>
      <c r="H6" s="4" t="s">
        <v>18</v>
      </c>
      <c r="I6" s="4" t="s">
        <v>17</v>
      </c>
      <c r="J6" s="5" t="s">
        <v>19</v>
      </c>
      <c r="K6" s="6" t="s">
        <v>20</v>
      </c>
      <c r="L6" s="4" t="s">
        <v>21</v>
      </c>
      <c r="M6" s="4" t="s">
        <v>22</v>
      </c>
      <c r="N6" s="5" t="s">
        <v>23</v>
      </c>
    </row>
    <row r="7" spans="1:26">
      <c r="A7" s="3" t="s">
        <v>24</v>
      </c>
      <c r="B7" s="4" t="s">
        <v>25</v>
      </c>
      <c r="C7" s="4" t="s">
        <v>26</v>
      </c>
      <c r="D7" s="4" t="s">
        <v>17</v>
      </c>
      <c r="E7" s="4" t="s">
        <v>18</v>
      </c>
      <c r="F7" s="4" t="s">
        <v>17</v>
      </c>
      <c r="G7" s="4" t="s">
        <v>18</v>
      </c>
      <c r="H7" s="4" t="s">
        <v>18</v>
      </c>
      <c r="I7" s="4" t="s">
        <v>18</v>
      </c>
      <c r="J7" s="5" t="s">
        <v>27</v>
      </c>
      <c r="K7" s="6" t="s">
        <v>20</v>
      </c>
      <c r="L7" s="4" t="s">
        <v>28</v>
      </c>
      <c r="M7" s="4" t="s">
        <v>29</v>
      </c>
      <c r="N7" s="5" t="s">
        <v>30</v>
      </c>
    </row>
    <row r="8" spans="1:26">
      <c r="A8" s="3" t="s">
        <v>31</v>
      </c>
      <c r="B8" s="4" t="s">
        <v>32</v>
      </c>
      <c r="C8" s="4" t="s">
        <v>33</v>
      </c>
      <c r="D8" s="4" t="s">
        <v>17</v>
      </c>
      <c r="E8" s="4" t="s">
        <v>18</v>
      </c>
      <c r="F8" s="4" t="s">
        <v>17</v>
      </c>
      <c r="G8" s="4" t="s">
        <v>18</v>
      </c>
      <c r="H8" s="4" t="s">
        <v>18</v>
      </c>
      <c r="I8" s="4" t="s">
        <v>17</v>
      </c>
      <c r="J8" s="5" t="s">
        <v>34</v>
      </c>
      <c r="K8" s="6" t="s">
        <v>35</v>
      </c>
      <c r="L8" s="4"/>
      <c r="M8" s="4"/>
      <c r="N8" s="5" t="s">
        <v>36</v>
      </c>
    </row>
    <row r="9" spans="1:26">
      <c r="A9" s="3" t="s">
        <v>37</v>
      </c>
      <c r="B9" s="4" t="s">
        <v>38</v>
      </c>
      <c r="C9" s="4" t="s">
        <v>39</v>
      </c>
      <c r="D9" s="4" t="s">
        <v>17</v>
      </c>
      <c r="E9" s="4" t="s">
        <v>18</v>
      </c>
      <c r="F9" s="4" t="s">
        <v>18</v>
      </c>
      <c r="G9" s="4" t="s">
        <v>18</v>
      </c>
      <c r="H9" s="4" t="s">
        <v>18</v>
      </c>
      <c r="I9" s="4" t="s">
        <v>18</v>
      </c>
      <c r="J9" s="5" t="s">
        <v>40</v>
      </c>
      <c r="K9" s="6" t="s">
        <v>41</v>
      </c>
      <c r="L9" s="4"/>
      <c r="M9" s="4"/>
      <c r="N9" s="5" t="s">
        <v>42</v>
      </c>
    </row>
    <row r="10" spans="1:26">
      <c r="A10" s="3" t="s">
        <v>43</v>
      </c>
      <c r="B10" s="4" t="s">
        <v>44</v>
      </c>
      <c r="C10" s="4" t="s">
        <v>45</v>
      </c>
      <c r="D10" s="4" t="s">
        <v>17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5" t="s">
        <v>46</v>
      </c>
      <c r="N10" s="5"/>
    </row>
    <row r="11" spans="1:26">
      <c r="A11" s="3" t="s">
        <v>47</v>
      </c>
      <c r="B11" s="4" t="s">
        <v>48</v>
      </c>
      <c r="C11" s="4" t="s">
        <v>49</v>
      </c>
      <c r="D11" s="4" t="s">
        <v>17</v>
      </c>
      <c r="E11" s="4" t="s">
        <v>18</v>
      </c>
      <c r="F11" s="4" t="s">
        <v>17</v>
      </c>
      <c r="G11" s="4" t="s">
        <v>17</v>
      </c>
      <c r="H11" s="4" t="s">
        <v>17</v>
      </c>
      <c r="I11" s="4" t="s">
        <v>17</v>
      </c>
      <c r="J11" s="5" t="s">
        <v>50</v>
      </c>
      <c r="K11" s="6" t="s">
        <v>35</v>
      </c>
      <c r="L11" s="4" t="s">
        <v>51</v>
      </c>
      <c r="M11" s="4" t="s">
        <v>52</v>
      </c>
      <c r="N11" s="5" t="s">
        <v>23</v>
      </c>
    </row>
    <row r="12" spans="1:26">
      <c r="A12" s="3" t="s">
        <v>53</v>
      </c>
      <c r="B12" s="4" t="s">
        <v>54</v>
      </c>
      <c r="C12" s="4" t="s">
        <v>55</v>
      </c>
      <c r="D12" s="4" t="s">
        <v>17</v>
      </c>
      <c r="E12" s="4" t="s">
        <v>18</v>
      </c>
      <c r="F12" s="4" t="s">
        <v>17</v>
      </c>
      <c r="G12" s="4" t="s">
        <v>17</v>
      </c>
      <c r="H12" s="4" t="s">
        <v>18</v>
      </c>
      <c r="I12" s="4" t="s">
        <v>18</v>
      </c>
      <c r="J12" s="5" t="s">
        <v>56</v>
      </c>
      <c r="K12" s="6" t="s">
        <v>57</v>
      </c>
      <c r="L12" s="4" t="s">
        <v>58</v>
      </c>
      <c r="M12" s="4" t="s">
        <v>59</v>
      </c>
      <c r="N12" s="5" t="s">
        <v>60</v>
      </c>
    </row>
    <row r="13" spans="1:26">
      <c r="A13" s="3" t="s">
        <v>61</v>
      </c>
      <c r="B13" s="4" t="s">
        <v>62</v>
      </c>
      <c r="C13" s="4" t="s">
        <v>49</v>
      </c>
      <c r="D13" s="4" t="s">
        <v>17</v>
      </c>
      <c r="E13" s="4" t="s">
        <v>18</v>
      </c>
      <c r="F13" s="4" t="s">
        <v>18</v>
      </c>
      <c r="G13" s="4" t="s">
        <v>18</v>
      </c>
      <c r="H13" s="4" t="s">
        <v>18</v>
      </c>
      <c r="I13" s="4" t="s">
        <v>17</v>
      </c>
      <c r="J13" s="5" t="s">
        <v>63</v>
      </c>
      <c r="K13" s="6" t="s">
        <v>20</v>
      </c>
      <c r="L13" s="4" t="s">
        <v>64</v>
      </c>
      <c r="M13" s="4" t="s">
        <v>22</v>
      </c>
      <c r="N13" s="5" t="s">
        <v>65</v>
      </c>
    </row>
    <row r="14" spans="1:26">
      <c r="A14" s="3" t="s">
        <v>66</v>
      </c>
      <c r="B14" s="4" t="s">
        <v>67</v>
      </c>
      <c r="C14" s="4" t="s">
        <v>68</v>
      </c>
      <c r="D14" s="4" t="s">
        <v>17</v>
      </c>
      <c r="E14" s="4" t="s">
        <v>18</v>
      </c>
      <c r="F14" s="4" t="s">
        <v>17</v>
      </c>
      <c r="G14" s="4" t="s">
        <v>17</v>
      </c>
      <c r="H14" s="4" t="s">
        <v>17</v>
      </c>
      <c r="I14" s="4" t="s">
        <v>17</v>
      </c>
      <c r="J14" s="6" t="s">
        <v>69</v>
      </c>
      <c r="K14" s="6" t="s">
        <v>20</v>
      </c>
      <c r="L14" s="4"/>
      <c r="M14" s="4"/>
      <c r="N14" s="5" t="s">
        <v>70</v>
      </c>
    </row>
    <row r="15" spans="1:26">
      <c r="A15" s="3" t="s">
        <v>71</v>
      </c>
      <c r="B15" s="4" t="s">
        <v>72</v>
      </c>
      <c r="C15" s="4" t="s">
        <v>73</v>
      </c>
      <c r="D15" s="4" t="s">
        <v>17</v>
      </c>
      <c r="E15" s="4" t="s">
        <v>18</v>
      </c>
      <c r="F15" s="4" t="s">
        <v>18</v>
      </c>
      <c r="G15" s="4" t="s">
        <v>17</v>
      </c>
      <c r="H15" s="4" t="s">
        <v>17</v>
      </c>
      <c r="I15" s="4" t="s">
        <v>17</v>
      </c>
      <c r="J15" s="5" t="s">
        <v>74</v>
      </c>
      <c r="K15" s="6" t="s">
        <v>75</v>
      </c>
      <c r="L15" s="4"/>
      <c r="M15" s="4"/>
      <c r="N15" s="5" t="s">
        <v>76</v>
      </c>
    </row>
    <row r="16" spans="1:26">
      <c r="A16" s="3" t="s">
        <v>77</v>
      </c>
      <c r="B16" s="4" t="s">
        <v>78</v>
      </c>
      <c r="C16" s="4" t="s">
        <v>79</v>
      </c>
      <c r="D16" s="4" t="s">
        <v>17</v>
      </c>
      <c r="E16" s="4" t="s">
        <v>18</v>
      </c>
      <c r="F16" s="4" t="s">
        <v>18</v>
      </c>
      <c r="G16" s="4" t="s">
        <v>17</v>
      </c>
      <c r="H16" s="4" t="s">
        <v>17</v>
      </c>
      <c r="I16" s="4" t="s">
        <v>17</v>
      </c>
      <c r="J16" s="5" t="s">
        <v>80</v>
      </c>
      <c r="K16" s="6" t="s">
        <v>35</v>
      </c>
      <c r="L16" s="4" t="s">
        <v>81</v>
      </c>
      <c r="M16" s="4" t="s">
        <v>22</v>
      </c>
      <c r="N16" s="5" t="s">
        <v>82</v>
      </c>
    </row>
    <row r="17" spans="1:26">
      <c r="A17" s="3" t="s">
        <v>83</v>
      </c>
      <c r="B17" s="4" t="s">
        <v>84</v>
      </c>
      <c r="C17" s="4" t="s">
        <v>85</v>
      </c>
      <c r="D17" s="4" t="s">
        <v>17</v>
      </c>
      <c r="E17" s="4" t="s">
        <v>17</v>
      </c>
      <c r="F17" s="4" t="s">
        <v>18</v>
      </c>
      <c r="G17" s="4" t="s">
        <v>17</v>
      </c>
      <c r="H17" s="4" t="s">
        <v>17</v>
      </c>
      <c r="I17" s="4" t="s">
        <v>18</v>
      </c>
      <c r="J17" s="5" t="s">
        <v>86</v>
      </c>
      <c r="K17" s="6" t="s">
        <v>41</v>
      </c>
      <c r="L17" s="4" t="s">
        <v>87</v>
      </c>
      <c r="M17" s="4" t="s">
        <v>88</v>
      </c>
      <c r="N17" s="5" t="s">
        <v>89</v>
      </c>
    </row>
    <row r="18" spans="1:26">
      <c r="A18" s="8" t="s">
        <v>365</v>
      </c>
      <c r="B18" s="4" t="s">
        <v>90</v>
      </c>
      <c r="C18" s="4" t="s">
        <v>91</v>
      </c>
      <c r="D18" s="4" t="s">
        <v>17</v>
      </c>
      <c r="E18" s="4" t="s">
        <v>18</v>
      </c>
      <c r="F18" s="4" t="s">
        <v>17</v>
      </c>
      <c r="G18" s="4" t="s">
        <v>17</v>
      </c>
      <c r="H18" s="4" t="s">
        <v>17</v>
      </c>
      <c r="I18" s="4" t="s">
        <v>17</v>
      </c>
      <c r="J18" s="4" t="s">
        <v>92</v>
      </c>
      <c r="K18" s="4" t="s">
        <v>93</v>
      </c>
      <c r="L18" s="4" t="s">
        <v>94</v>
      </c>
      <c r="M18" s="4" t="s">
        <v>22</v>
      </c>
      <c r="N18" s="4" t="s">
        <v>95</v>
      </c>
      <c r="O18" s="4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3" t="s">
        <v>96</v>
      </c>
      <c r="B19" s="4" t="s">
        <v>97</v>
      </c>
      <c r="C19" s="4" t="s">
        <v>98</v>
      </c>
      <c r="D19" s="4" t="s">
        <v>17</v>
      </c>
      <c r="E19" s="4" t="s">
        <v>18</v>
      </c>
      <c r="F19" s="4" t="s">
        <v>18</v>
      </c>
      <c r="G19" s="4" t="s">
        <v>17</v>
      </c>
      <c r="H19" s="4" t="s">
        <v>17</v>
      </c>
      <c r="I19" s="4" t="s">
        <v>17</v>
      </c>
      <c r="J19" s="4" t="s">
        <v>50</v>
      </c>
      <c r="K19" s="4" t="s">
        <v>20</v>
      </c>
      <c r="L19" s="4" t="s">
        <v>99</v>
      </c>
      <c r="M19" s="4" t="s">
        <v>100</v>
      </c>
      <c r="N19" s="4" t="s">
        <v>101</v>
      </c>
      <c r="O19" s="4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3" t="s">
        <v>102</v>
      </c>
      <c r="B20" s="4" t="s">
        <v>103</v>
      </c>
      <c r="C20" s="4" t="s">
        <v>104</v>
      </c>
      <c r="D20" s="4" t="s">
        <v>17</v>
      </c>
      <c r="E20" s="4" t="s">
        <v>18</v>
      </c>
      <c r="F20" s="4" t="s">
        <v>18</v>
      </c>
      <c r="G20" s="4" t="s">
        <v>17</v>
      </c>
      <c r="H20" s="4" t="s">
        <v>17</v>
      </c>
      <c r="I20" s="4" t="s">
        <v>17</v>
      </c>
      <c r="J20" s="4" t="s">
        <v>105</v>
      </c>
      <c r="K20" s="4" t="s">
        <v>35</v>
      </c>
      <c r="L20" s="4" t="s">
        <v>106</v>
      </c>
      <c r="M20" s="4" t="s">
        <v>100</v>
      </c>
      <c r="N20" s="4" t="s">
        <v>107</v>
      </c>
      <c r="O20" s="4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3" t="s">
        <v>108</v>
      </c>
      <c r="B21" s="4" t="s">
        <v>109</v>
      </c>
      <c r="C21" s="4" t="s">
        <v>110</v>
      </c>
      <c r="D21" s="4" t="s">
        <v>17</v>
      </c>
      <c r="E21" s="4" t="s">
        <v>18</v>
      </c>
      <c r="F21" s="4" t="s">
        <v>18</v>
      </c>
      <c r="G21" s="4" t="s">
        <v>17</v>
      </c>
      <c r="H21" s="4" t="s">
        <v>18</v>
      </c>
      <c r="I21" s="4" t="s">
        <v>18</v>
      </c>
      <c r="J21" s="4" t="s">
        <v>111</v>
      </c>
      <c r="K21" s="4" t="s">
        <v>20</v>
      </c>
      <c r="L21" s="4" t="s">
        <v>112</v>
      </c>
      <c r="M21" s="4"/>
      <c r="N21" s="4"/>
      <c r="O21" s="4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3" t="s">
        <v>113</v>
      </c>
      <c r="B22" s="4" t="s">
        <v>114</v>
      </c>
      <c r="C22" s="4" t="s">
        <v>115</v>
      </c>
      <c r="D22" s="4" t="s">
        <v>17</v>
      </c>
      <c r="E22" s="4" t="s">
        <v>18</v>
      </c>
      <c r="F22" s="4" t="s">
        <v>18</v>
      </c>
      <c r="G22" s="4" t="s">
        <v>17</v>
      </c>
      <c r="H22" s="4" t="s">
        <v>17</v>
      </c>
      <c r="I22" s="4" t="s">
        <v>18</v>
      </c>
      <c r="J22" s="4" t="s">
        <v>116</v>
      </c>
      <c r="K22" s="4" t="s">
        <v>117</v>
      </c>
      <c r="L22" s="4" t="s">
        <v>118</v>
      </c>
      <c r="M22" s="4"/>
      <c r="N22" s="4"/>
      <c r="O22" s="4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3" t="s">
        <v>119</v>
      </c>
      <c r="B23" s="4" t="s">
        <v>120</v>
      </c>
      <c r="C23" s="4" t="s">
        <v>121</v>
      </c>
      <c r="D23" s="4" t="s">
        <v>17</v>
      </c>
      <c r="E23" s="4" t="s">
        <v>18</v>
      </c>
      <c r="F23" s="4" t="s">
        <v>18</v>
      </c>
      <c r="G23" s="4" t="s">
        <v>18</v>
      </c>
      <c r="H23" s="4" t="s">
        <v>18</v>
      </c>
      <c r="I23" s="4" t="s">
        <v>18</v>
      </c>
      <c r="J23" s="4" t="s">
        <v>122</v>
      </c>
      <c r="K23" s="4" t="s">
        <v>123</v>
      </c>
      <c r="L23" s="4" t="s">
        <v>124</v>
      </c>
      <c r="M23" s="4"/>
      <c r="N23" s="4"/>
      <c r="O23" s="4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3" t="s">
        <v>125</v>
      </c>
      <c r="B24" s="4" t="s">
        <v>126</v>
      </c>
      <c r="C24" s="4" t="s">
        <v>127</v>
      </c>
      <c r="D24" s="4" t="s">
        <v>17</v>
      </c>
      <c r="E24" s="4" t="s">
        <v>18</v>
      </c>
      <c r="F24" s="4" t="s">
        <v>18</v>
      </c>
      <c r="G24" s="4" t="s">
        <v>18</v>
      </c>
      <c r="H24" s="4" t="s">
        <v>17</v>
      </c>
      <c r="I24" s="4" t="s">
        <v>17</v>
      </c>
      <c r="J24" s="4" t="s">
        <v>128</v>
      </c>
      <c r="K24" s="4" t="s">
        <v>41</v>
      </c>
      <c r="L24" s="4" t="s">
        <v>129</v>
      </c>
      <c r="M24" s="4"/>
      <c r="N24" s="4"/>
      <c r="O24" s="4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3" t="s">
        <v>130</v>
      </c>
      <c r="B25" s="4" t="s">
        <v>131</v>
      </c>
      <c r="C25" s="4" t="s">
        <v>132</v>
      </c>
      <c r="D25" s="4" t="s">
        <v>17</v>
      </c>
      <c r="E25" s="4" t="s">
        <v>18</v>
      </c>
      <c r="F25" s="4" t="s">
        <v>18</v>
      </c>
      <c r="G25" s="4" t="s">
        <v>18</v>
      </c>
      <c r="H25" s="4" t="s">
        <v>18</v>
      </c>
      <c r="I25" s="4" t="s">
        <v>18</v>
      </c>
      <c r="J25" s="4" t="s">
        <v>133</v>
      </c>
      <c r="K25" s="4" t="s">
        <v>117</v>
      </c>
      <c r="L25" s="4" t="s">
        <v>134</v>
      </c>
      <c r="M25" s="4"/>
      <c r="N25" s="4"/>
      <c r="O25" s="4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3" t="s">
        <v>135</v>
      </c>
      <c r="B26" s="4" t="s">
        <v>136</v>
      </c>
      <c r="C26" s="4" t="s">
        <v>137</v>
      </c>
      <c r="D26" s="4" t="s">
        <v>17</v>
      </c>
      <c r="E26" s="4" t="s">
        <v>18</v>
      </c>
      <c r="F26" s="4" t="s">
        <v>18</v>
      </c>
      <c r="G26" s="4" t="s">
        <v>17</v>
      </c>
      <c r="H26" s="4" t="s">
        <v>17</v>
      </c>
      <c r="I26" s="4" t="s">
        <v>17</v>
      </c>
      <c r="J26" s="4" t="s">
        <v>138</v>
      </c>
      <c r="K26" s="4" t="s">
        <v>41</v>
      </c>
      <c r="L26" s="4" t="s">
        <v>139</v>
      </c>
      <c r="M26" s="4" t="s">
        <v>22</v>
      </c>
      <c r="N26" s="4" t="s">
        <v>140</v>
      </c>
      <c r="O26" s="4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3" t="s">
        <v>141</v>
      </c>
      <c r="B27" s="4" t="s">
        <v>142</v>
      </c>
      <c r="C27" s="4" t="s">
        <v>143</v>
      </c>
      <c r="D27" s="4" t="s">
        <v>17</v>
      </c>
      <c r="E27" s="4" t="s">
        <v>18</v>
      </c>
      <c r="F27" s="4" t="s">
        <v>18</v>
      </c>
      <c r="G27" s="4" t="s">
        <v>18</v>
      </c>
      <c r="H27" s="4" t="s">
        <v>18</v>
      </c>
      <c r="I27" s="4" t="s">
        <v>18</v>
      </c>
      <c r="J27" s="5" t="s">
        <v>144</v>
      </c>
      <c r="K27" s="4" t="s">
        <v>117</v>
      </c>
      <c r="L27" s="4" t="s">
        <v>145</v>
      </c>
      <c r="M27" s="4" t="s">
        <v>3</v>
      </c>
      <c r="N27" s="5" t="s">
        <v>146</v>
      </c>
    </row>
    <row r="28" spans="1:26">
      <c r="A28" s="3" t="s">
        <v>147</v>
      </c>
      <c r="B28" s="4" t="s">
        <v>148</v>
      </c>
      <c r="C28" s="4" t="s">
        <v>149</v>
      </c>
      <c r="D28" s="4" t="s">
        <v>17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5" t="s">
        <v>27</v>
      </c>
      <c r="K28" s="4" t="s">
        <v>117</v>
      </c>
      <c r="L28" s="4" t="s">
        <v>150</v>
      </c>
      <c r="M28" s="4" t="s">
        <v>151</v>
      </c>
      <c r="N28" s="5" t="s">
        <v>152</v>
      </c>
    </row>
    <row r="29" spans="1:26">
      <c r="A29" s="3" t="s">
        <v>153</v>
      </c>
      <c r="B29" s="4" t="s">
        <v>154</v>
      </c>
      <c r="C29" s="4" t="s">
        <v>155</v>
      </c>
      <c r="D29" s="4" t="s">
        <v>17</v>
      </c>
      <c r="E29" s="4" t="s">
        <v>18</v>
      </c>
      <c r="F29" s="4" t="s">
        <v>18</v>
      </c>
      <c r="G29" s="4" t="s">
        <v>18</v>
      </c>
      <c r="H29" s="4" t="s">
        <v>18</v>
      </c>
      <c r="I29" s="4" t="s">
        <v>18</v>
      </c>
      <c r="J29" s="5" t="s">
        <v>56</v>
      </c>
      <c r="K29" s="6" t="s">
        <v>20</v>
      </c>
      <c r="L29" s="4"/>
      <c r="M29" s="4"/>
      <c r="N29" s="5" t="s">
        <v>156</v>
      </c>
    </row>
    <row r="30" spans="1:26">
      <c r="A30" s="3" t="s">
        <v>157</v>
      </c>
      <c r="B30" s="4" t="s">
        <v>158</v>
      </c>
      <c r="C30" s="4" t="s">
        <v>159</v>
      </c>
      <c r="D30" s="4" t="s">
        <v>17</v>
      </c>
      <c r="E30" s="4" t="s">
        <v>18</v>
      </c>
      <c r="F30" s="4" t="s">
        <v>18</v>
      </c>
      <c r="G30" s="4" t="s">
        <v>18</v>
      </c>
      <c r="H30" s="4" t="s">
        <v>18</v>
      </c>
      <c r="I30" s="4" t="s">
        <v>18</v>
      </c>
      <c r="J30" s="5" t="s">
        <v>160</v>
      </c>
      <c r="K30" s="6" t="s">
        <v>20</v>
      </c>
      <c r="L30" s="4"/>
      <c r="M30" s="4"/>
      <c r="N30" s="5" t="s">
        <v>161</v>
      </c>
    </row>
    <row r="31" spans="1:26">
      <c r="A31" s="3" t="s">
        <v>162</v>
      </c>
      <c r="B31" s="4" t="s">
        <v>163</v>
      </c>
      <c r="C31" s="4" t="s">
        <v>164</v>
      </c>
      <c r="D31" s="4" t="s">
        <v>17</v>
      </c>
      <c r="E31" s="4" t="s">
        <v>18</v>
      </c>
      <c r="F31" s="4" t="s">
        <v>18</v>
      </c>
      <c r="G31" s="4" t="s">
        <v>17</v>
      </c>
      <c r="H31" s="4" t="s">
        <v>17</v>
      </c>
      <c r="I31" s="4" t="s">
        <v>17</v>
      </c>
      <c r="J31" s="5" t="s">
        <v>165</v>
      </c>
      <c r="K31" s="4" t="s">
        <v>117</v>
      </c>
      <c r="L31" s="4"/>
      <c r="M31" s="4"/>
      <c r="N31" s="5" t="s">
        <v>166</v>
      </c>
    </row>
    <row r="32" spans="1:26">
      <c r="A32" s="3" t="s">
        <v>167</v>
      </c>
      <c r="B32" s="4" t="s">
        <v>168</v>
      </c>
      <c r="C32" s="4" t="s">
        <v>164</v>
      </c>
      <c r="D32" s="4" t="s">
        <v>17</v>
      </c>
      <c r="E32" s="4" t="s">
        <v>18</v>
      </c>
      <c r="F32" s="4" t="s">
        <v>18</v>
      </c>
      <c r="G32" s="4" t="s">
        <v>17</v>
      </c>
      <c r="H32" s="4" t="s">
        <v>17</v>
      </c>
      <c r="I32" s="4" t="s">
        <v>18</v>
      </c>
      <c r="J32" s="5" t="s">
        <v>144</v>
      </c>
      <c r="K32" s="4" t="s">
        <v>117</v>
      </c>
      <c r="L32" s="4"/>
      <c r="M32" s="4"/>
      <c r="N32" s="5" t="s">
        <v>169</v>
      </c>
    </row>
    <row r="33" spans="1:14">
      <c r="A33" s="3" t="s">
        <v>170</v>
      </c>
      <c r="B33" s="4" t="s">
        <v>171</v>
      </c>
      <c r="C33" s="4" t="s">
        <v>172</v>
      </c>
      <c r="D33" s="4" t="s">
        <v>17</v>
      </c>
      <c r="E33" s="4" t="s">
        <v>18</v>
      </c>
      <c r="F33" s="4" t="s">
        <v>18</v>
      </c>
      <c r="G33" s="4" t="s">
        <v>18</v>
      </c>
      <c r="H33" s="4" t="s">
        <v>18</v>
      </c>
      <c r="I33" s="4" t="s">
        <v>18</v>
      </c>
      <c r="J33" s="5" t="s">
        <v>173</v>
      </c>
      <c r="K33" s="4" t="s">
        <v>117</v>
      </c>
      <c r="L33" s="4" t="s">
        <v>174</v>
      </c>
      <c r="M33" s="4" t="s">
        <v>175</v>
      </c>
      <c r="N33" s="5" t="s">
        <v>42</v>
      </c>
    </row>
    <row r="34" spans="1:14">
      <c r="A34" s="3" t="s">
        <v>176</v>
      </c>
      <c r="B34" s="4" t="s">
        <v>171</v>
      </c>
      <c r="C34" s="4" t="s">
        <v>177</v>
      </c>
      <c r="D34" s="4" t="s">
        <v>17</v>
      </c>
      <c r="E34" s="4" t="s">
        <v>18</v>
      </c>
      <c r="F34" s="4" t="s">
        <v>18</v>
      </c>
      <c r="G34" s="4" t="s">
        <v>17</v>
      </c>
      <c r="H34" s="4" t="s">
        <v>18</v>
      </c>
      <c r="I34" s="4" t="s">
        <v>18</v>
      </c>
      <c r="J34" s="5" t="s">
        <v>178</v>
      </c>
      <c r="K34" s="4" t="s">
        <v>117</v>
      </c>
      <c r="L34" s="4" t="s">
        <v>179</v>
      </c>
      <c r="N34" s="5" t="s">
        <v>180</v>
      </c>
    </row>
    <row r="35" spans="1:14">
      <c r="A35" s="3" t="s">
        <v>181</v>
      </c>
      <c r="B35" s="4" t="s">
        <v>182</v>
      </c>
      <c r="C35" s="4" t="s">
        <v>183</v>
      </c>
      <c r="D35" s="4" t="s">
        <v>17</v>
      </c>
      <c r="E35" s="4" t="s">
        <v>18</v>
      </c>
      <c r="F35" s="4" t="s">
        <v>18</v>
      </c>
      <c r="G35" s="4" t="s">
        <v>17</v>
      </c>
      <c r="H35" s="4" t="s">
        <v>18</v>
      </c>
      <c r="I35" s="4" t="s">
        <v>18</v>
      </c>
      <c r="J35" s="5" t="s">
        <v>184</v>
      </c>
      <c r="K35" s="4" t="s">
        <v>117</v>
      </c>
      <c r="L35" s="4" t="s">
        <v>185</v>
      </c>
      <c r="M35" s="4" t="s">
        <v>186</v>
      </c>
      <c r="N35" s="5" t="s">
        <v>187</v>
      </c>
    </row>
    <row r="36" spans="1:14">
      <c r="A36" s="3" t="s">
        <v>188</v>
      </c>
      <c r="B36" s="4" t="s">
        <v>189</v>
      </c>
      <c r="C36" s="4" t="s">
        <v>190</v>
      </c>
      <c r="D36" s="4" t="s">
        <v>17</v>
      </c>
      <c r="E36" s="4" t="s">
        <v>18</v>
      </c>
      <c r="F36" s="4" t="s">
        <v>18</v>
      </c>
      <c r="G36" s="4" t="s">
        <v>17</v>
      </c>
      <c r="H36" s="4" t="s">
        <v>18</v>
      </c>
      <c r="I36" s="4" t="s">
        <v>18</v>
      </c>
      <c r="J36" s="5" t="s">
        <v>191</v>
      </c>
      <c r="K36" s="4" t="s">
        <v>117</v>
      </c>
      <c r="L36" s="4" t="s">
        <v>192</v>
      </c>
      <c r="M36" s="4" t="s">
        <v>193</v>
      </c>
      <c r="N36" s="5" t="s">
        <v>187</v>
      </c>
    </row>
    <row r="37" spans="1:14">
      <c r="A37" s="3" t="s">
        <v>194</v>
      </c>
      <c r="B37" s="4" t="s">
        <v>195</v>
      </c>
      <c r="C37" s="4" t="s">
        <v>196</v>
      </c>
      <c r="D37" s="4" t="s">
        <v>17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5" t="s">
        <v>144</v>
      </c>
      <c r="K37" s="6" t="s">
        <v>41</v>
      </c>
      <c r="L37" s="4"/>
      <c r="M37" s="4"/>
      <c r="N37" s="5"/>
    </row>
    <row r="38" spans="1:14">
      <c r="A38" s="3" t="s">
        <v>197</v>
      </c>
      <c r="B38" s="4" t="s">
        <v>198</v>
      </c>
      <c r="C38" s="4" t="s">
        <v>199</v>
      </c>
      <c r="D38" s="4" t="s">
        <v>17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5" t="s">
        <v>200</v>
      </c>
      <c r="K38" s="6" t="s">
        <v>41</v>
      </c>
      <c r="L38" s="4" t="s">
        <v>201</v>
      </c>
      <c r="M38" s="4" t="s">
        <v>3</v>
      </c>
      <c r="N38" s="5" t="s">
        <v>202</v>
      </c>
    </row>
    <row r="39" spans="1:14">
      <c r="A39" s="3" t="s">
        <v>203</v>
      </c>
      <c r="B39" s="4" t="s">
        <v>204</v>
      </c>
      <c r="C39" s="4" t="s">
        <v>205</v>
      </c>
      <c r="D39" s="4" t="s">
        <v>17</v>
      </c>
      <c r="E39" s="4" t="s">
        <v>18</v>
      </c>
      <c r="F39" s="4" t="s">
        <v>18</v>
      </c>
      <c r="G39" s="4" t="s">
        <v>18</v>
      </c>
      <c r="H39" s="4" t="s">
        <v>18</v>
      </c>
      <c r="I39" s="4" t="s">
        <v>18</v>
      </c>
      <c r="J39" s="5" t="s">
        <v>206</v>
      </c>
      <c r="K39" s="6" t="s">
        <v>207</v>
      </c>
      <c r="L39" s="4" t="s">
        <v>208</v>
      </c>
      <c r="M39" s="4" t="s">
        <v>3</v>
      </c>
      <c r="N39" s="5" t="s">
        <v>209</v>
      </c>
    </row>
    <row r="40" spans="1:14">
      <c r="A40" s="3" t="s">
        <v>210</v>
      </c>
      <c r="B40" s="4" t="s">
        <v>211</v>
      </c>
      <c r="C40" s="4" t="s">
        <v>212</v>
      </c>
      <c r="D40" s="4" t="s">
        <v>17</v>
      </c>
      <c r="E40" s="4" t="s">
        <v>18</v>
      </c>
      <c r="F40" s="4" t="s">
        <v>18</v>
      </c>
      <c r="G40" s="4" t="s">
        <v>18</v>
      </c>
      <c r="H40" s="4" t="s">
        <v>18</v>
      </c>
      <c r="I40" s="4" t="s">
        <v>18</v>
      </c>
      <c r="J40" s="5" t="s">
        <v>213</v>
      </c>
      <c r="K40" s="6" t="s">
        <v>41</v>
      </c>
      <c r="L40" s="4" t="s">
        <v>201</v>
      </c>
      <c r="M40" s="4" t="s">
        <v>3</v>
      </c>
      <c r="N40" s="5" t="s">
        <v>214</v>
      </c>
    </row>
    <row r="41" spans="1:14">
      <c r="A41" s="3" t="s">
        <v>215</v>
      </c>
      <c r="B41" s="4" t="s">
        <v>216</v>
      </c>
      <c r="C41" s="4" t="s">
        <v>217</v>
      </c>
      <c r="D41" s="4" t="s">
        <v>17</v>
      </c>
      <c r="E41" s="4" t="s">
        <v>18</v>
      </c>
      <c r="F41" s="4" t="s">
        <v>18</v>
      </c>
      <c r="G41" s="4" t="s">
        <v>18</v>
      </c>
      <c r="H41" s="4" t="s">
        <v>18</v>
      </c>
      <c r="I41" s="4" t="s">
        <v>18</v>
      </c>
      <c r="J41" s="5" t="s">
        <v>218</v>
      </c>
      <c r="K41" s="4" t="s">
        <v>117</v>
      </c>
      <c r="L41" s="4" t="s">
        <v>219</v>
      </c>
      <c r="M41" s="4" t="s">
        <v>3</v>
      </c>
      <c r="N41" s="5" t="s">
        <v>220</v>
      </c>
    </row>
    <row r="42" spans="1:14">
      <c r="A42" s="3" t="s">
        <v>221</v>
      </c>
      <c r="B42" s="4" t="s">
        <v>222</v>
      </c>
      <c r="C42" s="4" t="s">
        <v>223</v>
      </c>
      <c r="J42" s="5"/>
      <c r="L42" s="4" t="s">
        <v>224</v>
      </c>
      <c r="N42" s="5"/>
    </row>
    <row r="43" spans="1:14">
      <c r="A43" s="3"/>
      <c r="J43" s="5"/>
      <c r="N43" s="5"/>
    </row>
    <row r="44" spans="1:14">
      <c r="A44" s="3"/>
      <c r="J44" s="5"/>
      <c r="N44" s="5"/>
    </row>
    <row r="45" spans="1:14">
      <c r="J45" s="5"/>
      <c r="N45" s="5"/>
    </row>
    <row r="46" spans="1:14">
      <c r="A46" s="3"/>
      <c r="J46" s="5"/>
      <c r="N46" s="5"/>
    </row>
    <row r="47" spans="1:14">
      <c r="J47" s="5"/>
      <c r="N47" s="5"/>
    </row>
    <row r="48" spans="1:14">
      <c r="J48" s="5"/>
      <c r="N48" s="5"/>
    </row>
    <row r="49" spans="10:14">
      <c r="J49" s="5"/>
      <c r="N49" s="5"/>
    </row>
    <row r="50" spans="10:14">
      <c r="J50" s="5"/>
      <c r="N50" s="5"/>
    </row>
    <row r="51" spans="10:14">
      <c r="J51" s="5"/>
      <c r="N51" s="5"/>
    </row>
    <row r="52" spans="10:14">
      <c r="J52" s="5"/>
      <c r="N52" s="5"/>
    </row>
    <row r="53" spans="10:14">
      <c r="J53" s="5"/>
      <c r="N53" s="5"/>
    </row>
    <row r="54" spans="10:14">
      <c r="J54" s="5"/>
      <c r="N54" s="5"/>
    </row>
    <row r="55" spans="10:14">
      <c r="J55" s="5"/>
      <c r="N55" s="5"/>
    </row>
    <row r="56" spans="10:14">
      <c r="J56" s="5"/>
      <c r="N56" s="5"/>
    </row>
    <row r="57" spans="10:14">
      <c r="J57" s="5"/>
      <c r="N57" s="5"/>
    </row>
    <row r="58" spans="10:14">
      <c r="J58" s="5"/>
      <c r="N58" s="5"/>
    </row>
    <row r="59" spans="10:14">
      <c r="J59" s="5"/>
      <c r="N59" s="5"/>
    </row>
    <row r="60" spans="10:14">
      <c r="J60" s="5"/>
      <c r="N60" s="5"/>
    </row>
    <row r="61" spans="10:14">
      <c r="J61" s="5"/>
      <c r="N61" s="5"/>
    </row>
    <row r="62" spans="10:14">
      <c r="J62" s="5"/>
      <c r="N62" s="5"/>
    </row>
    <row r="63" spans="10:14">
      <c r="J63" s="5"/>
      <c r="N63" s="5"/>
    </row>
    <row r="64" spans="10:14">
      <c r="J64" s="5"/>
      <c r="N64" s="5"/>
    </row>
    <row r="65" spans="10:14">
      <c r="J65" s="5"/>
      <c r="N65" s="5"/>
    </row>
    <row r="66" spans="10:14">
      <c r="J66" s="5"/>
      <c r="N66" s="5"/>
    </row>
    <row r="67" spans="10:14">
      <c r="J67" s="5"/>
      <c r="N67" s="5"/>
    </row>
    <row r="68" spans="10:14">
      <c r="J68" s="5"/>
      <c r="N68" s="5"/>
    </row>
    <row r="69" spans="10:14">
      <c r="J69" s="5"/>
      <c r="N69" s="5"/>
    </row>
    <row r="70" spans="10:14">
      <c r="J70" s="5"/>
      <c r="N70" s="5"/>
    </row>
    <row r="71" spans="10:14">
      <c r="J71" s="5"/>
      <c r="N71" s="5"/>
    </row>
    <row r="72" spans="10:14">
      <c r="J72" s="5"/>
      <c r="N72" s="5"/>
    </row>
    <row r="73" spans="10:14">
      <c r="J73" s="5"/>
      <c r="N73" s="5"/>
    </row>
    <row r="74" spans="10:14">
      <c r="J74" s="5"/>
      <c r="N74" s="5"/>
    </row>
    <row r="75" spans="10:14">
      <c r="J75" s="5"/>
      <c r="N75" s="5"/>
    </row>
    <row r="76" spans="10:14">
      <c r="J76" s="5"/>
      <c r="N76" s="5"/>
    </row>
    <row r="77" spans="10:14">
      <c r="J77" s="5"/>
      <c r="N77" s="5"/>
    </row>
    <row r="78" spans="10:14">
      <c r="J78" s="5"/>
      <c r="N78" s="5"/>
    </row>
    <row r="79" spans="10:14">
      <c r="J79" s="5"/>
      <c r="N79" s="5"/>
    </row>
    <row r="80" spans="10:14">
      <c r="J80" s="5"/>
      <c r="N80" s="5"/>
    </row>
    <row r="81" spans="10:14">
      <c r="J81" s="5"/>
      <c r="N81" s="5"/>
    </row>
    <row r="82" spans="10:14">
      <c r="J82" s="5"/>
      <c r="N82" s="5"/>
    </row>
    <row r="83" spans="10:14">
      <c r="J83" s="5"/>
      <c r="N83" s="5"/>
    </row>
    <row r="84" spans="10:14">
      <c r="J84" s="5"/>
      <c r="N84" s="5"/>
    </row>
    <row r="85" spans="10:14">
      <c r="J85" s="5"/>
      <c r="N85" s="5"/>
    </row>
    <row r="86" spans="10:14">
      <c r="J86" s="5"/>
      <c r="N86" s="5"/>
    </row>
    <row r="87" spans="10:14">
      <c r="J87" s="5"/>
      <c r="N87" s="5"/>
    </row>
    <row r="88" spans="10:14">
      <c r="J88" s="5"/>
      <c r="N88" s="5"/>
    </row>
    <row r="89" spans="10:14">
      <c r="J89" s="5"/>
      <c r="N89" s="5"/>
    </row>
    <row r="90" spans="10:14">
      <c r="J90" s="5"/>
      <c r="N90" s="5"/>
    </row>
    <row r="91" spans="10:14">
      <c r="J91" s="5"/>
      <c r="N91" s="5"/>
    </row>
    <row r="92" spans="10:14">
      <c r="J92" s="5"/>
      <c r="N92" s="5"/>
    </row>
    <row r="93" spans="10:14">
      <c r="J93" s="5"/>
      <c r="N93" s="5"/>
    </row>
    <row r="94" spans="10:14">
      <c r="J94" s="5"/>
      <c r="N94" s="5"/>
    </row>
    <row r="95" spans="10:14">
      <c r="J95" s="5"/>
      <c r="N95" s="5"/>
    </row>
    <row r="96" spans="10:14">
      <c r="J96" s="5"/>
      <c r="N96" s="5"/>
    </row>
    <row r="97" spans="10:14">
      <c r="J97" s="5"/>
      <c r="N97" s="5"/>
    </row>
    <row r="98" spans="10:14">
      <c r="J98" s="5"/>
      <c r="N98" s="5"/>
    </row>
    <row r="99" spans="10:14">
      <c r="J99" s="5"/>
      <c r="N99" s="5"/>
    </row>
    <row r="100" spans="10:14">
      <c r="J100" s="5"/>
      <c r="N100" s="5"/>
    </row>
    <row r="101" spans="10:14">
      <c r="J101" s="5"/>
      <c r="N101" s="5"/>
    </row>
    <row r="102" spans="10:14">
      <c r="J102" s="5"/>
      <c r="N102" s="5"/>
    </row>
    <row r="103" spans="10:14">
      <c r="J103" s="5"/>
      <c r="N103" s="5"/>
    </row>
    <row r="104" spans="10:14">
      <c r="J104" s="5"/>
      <c r="N104" s="5"/>
    </row>
    <row r="105" spans="10:14">
      <c r="J105" s="5"/>
      <c r="N105" s="5"/>
    </row>
    <row r="106" spans="10:14">
      <c r="J106" s="5"/>
      <c r="N106" s="5"/>
    </row>
    <row r="107" spans="10:14">
      <c r="J107" s="5"/>
      <c r="N107" s="5"/>
    </row>
    <row r="108" spans="10:14">
      <c r="J108" s="5"/>
      <c r="N108" s="5"/>
    </row>
    <row r="109" spans="10:14">
      <c r="J109" s="5"/>
      <c r="N109" s="5"/>
    </row>
    <row r="110" spans="10:14">
      <c r="J110" s="5"/>
      <c r="N110" s="5"/>
    </row>
    <row r="111" spans="10:14">
      <c r="J111" s="5"/>
      <c r="N111" s="5"/>
    </row>
    <row r="112" spans="10:14">
      <c r="J112" s="5"/>
      <c r="N112" s="5"/>
    </row>
    <row r="113" spans="10:14">
      <c r="J113" s="5"/>
      <c r="N113" s="5"/>
    </row>
    <row r="114" spans="10:14">
      <c r="J114" s="5"/>
      <c r="N114" s="5"/>
    </row>
    <row r="115" spans="10:14">
      <c r="J115" s="5"/>
      <c r="N115" s="5"/>
    </row>
    <row r="116" spans="10:14">
      <c r="J116" s="5"/>
      <c r="N116" s="5"/>
    </row>
    <row r="117" spans="10:14">
      <c r="J117" s="5"/>
      <c r="N117" s="5"/>
    </row>
    <row r="118" spans="10:14">
      <c r="J118" s="5"/>
      <c r="N118" s="5"/>
    </row>
    <row r="119" spans="10:14">
      <c r="J119" s="5"/>
      <c r="N119" s="5"/>
    </row>
    <row r="120" spans="10:14">
      <c r="J120" s="5"/>
      <c r="N120" s="5"/>
    </row>
    <row r="121" spans="10:14">
      <c r="J121" s="5"/>
      <c r="N121" s="5"/>
    </row>
    <row r="122" spans="10:14">
      <c r="J122" s="5"/>
      <c r="N122" s="5"/>
    </row>
    <row r="123" spans="10:14">
      <c r="J123" s="5"/>
      <c r="N123" s="5"/>
    </row>
    <row r="124" spans="10:14">
      <c r="J124" s="5"/>
      <c r="N124" s="5"/>
    </row>
    <row r="125" spans="10:14">
      <c r="J125" s="5"/>
      <c r="N125" s="5"/>
    </row>
    <row r="126" spans="10:14">
      <c r="J126" s="5"/>
      <c r="N126" s="5"/>
    </row>
    <row r="127" spans="10:14">
      <c r="J127" s="5"/>
      <c r="N127" s="5"/>
    </row>
    <row r="128" spans="10:14">
      <c r="J128" s="5"/>
      <c r="N128" s="5"/>
    </row>
    <row r="129" spans="10:14">
      <c r="J129" s="5"/>
      <c r="N129" s="5"/>
    </row>
    <row r="130" spans="10:14">
      <c r="J130" s="5"/>
      <c r="N130" s="5"/>
    </row>
    <row r="131" spans="10:14">
      <c r="J131" s="5"/>
      <c r="N131" s="5"/>
    </row>
    <row r="132" spans="10:14">
      <c r="J132" s="5"/>
      <c r="N132" s="5"/>
    </row>
    <row r="133" spans="10:14">
      <c r="J133" s="5"/>
      <c r="N133" s="5"/>
    </row>
    <row r="134" spans="10:14">
      <c r="J134" s="5"/>
      <c r="N134" s="5"/>
    </row>
    <row r="135" spans="10:14">
      <c r="J135" s="5"/>
      <c r="N135" s="5"/>
    </row>
    <row r="136" spans="10:14">
      <c r="J136" s="5"/>
      <c r="N136" s="5"/>
    </row>
    <row r="137" spans="10:14">
      <c r="J137" s="5"/>
      <c r="N137" s="5"/>
    </row>
    <row r="138" spans="10:14">
      <c r="J138" s="5"/>
      <c r="N138" s="5"/>
    </row>
    <row r="139" spans="10:14">
      <c r="J139" s="5"/>
      <c r="N139" s="5"/>
    </row>
    <row r="140" spans="10:14">
      <c r="J140" s="5"/>
      <c r="N140" s="5"/>
    </row>
    <row r="141" spans="10:14">
      <c r="J141" s="5"/>
      <c r="N141" s="5"/>
    </row>
    <row r="142" spans="10:14">
      <c r="J142" s="5"/>
      <c r="N142" s="5"/>
    </row>
    <row r="143" spans="10:14">
      <c r="J143" s="5"/>
      <c r="N143" s="5"/>
    </row>
    <row r="144" spans="10:14">
      <c r="J144" s="5"/>
      <c r="N144" s="5"/>
    </row>
    <row r="145" spans="10:14">
      <c r="J145" s="5"/>
      <c r="N145" s="5"/>
    </row>
    <row r="146" spans="10:14">
      <c r="J146" s="5"/>
      <c r="N146" s="5"/>
    </row>
    <row r="147" spans="10:14">
      <c r="J147" s="5"/>
      <c r="N147" s="5"/>
    </row>
    <row r="148" spans="10:14">
      <c r="J148" s="5"/>
      <c r="N148" s="5"/>
    </row>
    <row r="149" spans="10:14">
      <c r="J149" s="5"/>
      <c r="N149" s="5"/>
    </row>
    <row r="150" spans="10:14">
      <c r="J150" s="5"/>
      <c r="N150" s="5"/>
    </row>
    <row r="151" spans="10:14">
      <c r="J151" s="5"/>
      <c r="N151" s="5"/>
    </row>
    <row r="152" spans="10:14">
      <c r="J152" s="5"/>
      <c r="N152" s="5"/>
    </row>
    <row r="153" spans="10:14">
      <c r="J153" s="5"/>
      <c r="N153" s="5"/>
    </row>
    <row r="154" spans="10:14">
      <c r="J154" s="5"/>
      <c r="N154" s="5"/>
    </row>
    <row r="155" spans="10:14">
      <c r="J155" s="5"/>
      <c r="N155" s="5"/>
    </row>
    <row r="156" spans="10:14">
      <c r="J156" s="5"/>
      <c r="N156" s="5"/>
    </row>
    <row r="157" spans="10:14">
      <c r="J157" s="5"/>
      <c r="N157" s="5"/>
    </row>
    <row r="158" spans="10:14">
      <c r="J158" s="5"/>
      <c r="N158" s="5"/>
    </row>
    <row r="159" spans="10:14">
      <c r="J159" s="5"/>
      <c r="N159" s="5"/>
    </row>
    <row r="160" spans="10:14">
      <c r="J160" s="5"/>
      <c r="N160" s="5"/>
    </row>
    <row r="161" spans="10:14">
      <c r="J161" s="5"/>
      <c r="N161" s="5"/>
    </row>
    <row r="162" spans="10:14">
      <c r="J162" s="5"/>
      <c r="N162" s="5"/>
    </row>
    <row r="163" spans="10:14">
      <c r="J163" s="5"/>
      <c r="N163" s="5"/>
    </row>
    <row r="164" spans="10:14">
      <c r="J164" s="5"/>
      <c r="N164" s="5"/>
    </row>
    <row r="165" spans="10:14">
      <c r="J165" s="5"/>
      <c r="N165" s="5"/>
    </row>
    <row r="166" spans="10:14">
      <c r="J166" s="5"/>
      <c r="N166" s="5"/>
    </row>
    <row r="167" spans="10:14">
      <c r="J167" s="5"/>
      <c r="N167" s="5"/>
    </row>
    <row r="168" spans="10:14">
      <c r="J168" s="5"/>
      <c r="N168" s="5"/>
    </row>
    <row r="169" spans="10:14">
      <c r="J169" s="5"/>
      <c r="N169" s="5"/>
    </row>
    <row r="170" spans="10:14">
      <c r="J170" s="5"/>
      <c r="N170" s="5"/>
    </row>
    <row r="171" spans="10:14">
      <c r="J171" s="5"/>
      <c r="N171" s="5"/>
    </row>
    <row r="172" spans="10:14">
      <c r="J172" s="5"/>
      <c r="N172" s="5"/>
    </row>
    <row r="173" spans="10:14">
      <c r="J173" s="5"/>
      <c r="N173" s="5"/>
    </row>
    <row r="174" spans="10:14">
      <c r="J174" s="5"/>
      <c r="N174" s="5"/>
    </row>
    <row r="175" spans="10:14">
      <c r="J175" s="5"/>
      <c r="N175" s="5"/>
    </row>
    <row r="176" spans="10:14">
      <c r="J176" s="5"/>
      <c r="N176" s="5"/>
    </row>
    <row r="177" spans="10:14">
      <c r="J177" s="5"/>
      <c r="N177" s="5"/>
    </row>
    <row r="178" spans="10:14">
      <c r="J178" s="5"/>
      <c r="N178" s="5"/>
    </row>
    <row r="179" spans="10:14">
      <c r="J179" s="5"/>
      <c r="N179" s="5"/>
    </row>
    <row r="180" spans="10:14">
      <c r="J180" s="5"/>
      <c r="N180" s="5"/>
    </row>
    <row r="181" spans="10:14">
      <c r="J181" s="5"/>
      <c r="N181" s="5"/>
    </row>
    <row r="182" spans="10:14">
      <c r="J182" s="5"/>
      <c r="N182" s="5"/>
    </row>
    <row r="183" spans="10:14">
      <c r="J183" s="5"/>
      <c r="N183" s="5"/>
    </row>
    <row r="184" spans="10:14">
      <c r="J184" s="5"/>
      <c r="N184" s="5"/>
    </row>
    <row r="185" spans="10:14">
      <c r="J185" s="5"/>
      <c r="N185" s="5"/>
    </row>
    <row r="186" spans="10:14">
      <c r="J186" s="5"/>
      <c r="N186" s="5"/>
    </row>
    <row r="187" spans="10:14">
      <c r="J187" s="5"/>
      <c r="N187" s="5"/>
    </row>
    <row r="188" spans="10:14">
      <c r="J188" s="5"/>
      <c r="N188" s="5"/>
    </row>
    <row r="189" spans="10:14">
      <c r="J189" s="5"/>
      <c r="N189" s="5"/>
    </row>
    <row r="190" spans="10:14">
      <c r="J190" s="5"/>
      <c r="N190" s="5"/>
    </row>
    <row r="191" spans="10:14">
      <c r="J191" s="5"/>
      <c r="N191" s="5"/>
    </row>
    <row r="192" spans="10:14">
      <c r="J192" s="5"/>
      <c r="N192" s="5"/>
    </row>
    <row r="193" spans="10:14">
      <c r="J193" s="5"/>
      <c r="N193" s="5"/>
    </row>
    <row r="194" spans="10:14">
      <c r="J194" s="5"/>
      <c r="N194" s="5"/>
    </row>
    <row r="195" spans="10:14">
      <c r="J195" s="5"/>
      <c r="N195" s="5"/>
    </row>
    <row r="196" spans="10:14">
      <c r="J196" s="5"/>
      <c r="N196" s="5"/>
    </row>
    <row r="197" spans="10:14">
      <c r="J197" s="5"/>
      <c r="N197" s="5"/>
    </row>
    <row r="198" spans="10:14">
      <c r="J198" s="5"/>
      <c r="N198" s="5"/>
    </row>
    <row r="199" spans="10:14">
      <c r="J199" s="5"/>
      <c r="N199" s="5"/>
    </row>
    <row r="200" spans="10:14">
      <c r="J200" s="5"/>
      <c r="N200" s="5"/>
    </row>
    <row r="201" spans="10:14">
      <c r="J201" s="5"/>
      <c r="N201" s="5"/>
    </row>
    <row r="202" spans="10:14">
      <c r="J202" s="5"/>
      <c r="N202" s="5"/>
    </row>
    <row r="203" spans="10:14">
      <c r="J203" s="5"/>
      <c r="N203" s="5"/>
    </row>
    <row r="204" spans="10:14">
      <c r="J204" s="5"/>
      <c r="N204" s="5"/>
    </row>
    <row r="205" spans="10:14">
      <c r="J205" s="5"/>
      <c r="N205" s="5"/>
    </row>
    <row r="206" spans="10:14">
      <c r="J206" s="5"/>
      <c r="N206" s="5"/>
    </row>
    <row r="207" spans="10:14">
      <c r="J207" s="5"/>
      <c r="N207" s="5"/>
    </row>
    <row r="208" spans="10:14">
      <c r="J208" s="5"/>
      <c r="N208" s="5"/>
    </row>
    <row r="209" spans="10:14">
      <c r="J209" s="5"/>
      <c r="N209" s="5"/>
    </row>
    <row r="210" spans="10:14">
      <c r="J210" s="5"/>
      <c r="N210" s="5"/>
    </row>
    <row r="211" spans="10:14">
      <c r="J211" s="5"/>
      <c r="N211" s="5"/>
    </row>
    <row r="212" spans="10:14">
      <c r="J212" s="5"/>
      <c r="N212" s="5"/>
    </row>
    <row r="213" spans="10:14">
      <c r="J213" s="5"/>
      <c r="N213" s="5"/>
    </row>
    <row r="214" spans="10:14">
      <c r="J214" s="5"/>
      <c r="N214" s="5"/>
    </row>
    <row r="215" spans="10:14">
      <c r="J215" s="5"/>
      <c r="N215" s="5"/>
    </row>
    <row r="216" spans="10:14">
      <c r="J216" s="5"/>
      <c r="N216" s="5"/>
    </row>
    <row r="217" spans="10:14">
      <c r="J217" s="5"/>
      <c r="N217" s="5"/>
    </row>
    <row r="218" spans="10:14">
      <c r="J218" s="5"/>
      <c r="N218" s="5"/>
    </row>
    <row r="219" spans="10:14">
      <c r="J219" s="5"/>
      <c r="N219" s="5"/>
    </row>
    <row r="220" spans="10:14">
      <c r="J220" s="5"/>
      <c r="N220" s="5"/>
    </row>
    <row r="221" spans="10:14">
      <c r="J221" s="5"/>
      <c r="N221" s="5"/>
    </row>
    <row r="222" spans="10:14">
      <c r="J222" s="5"/>
      <c r="N222" s="5"/>
    </row>
    <row r="223" spans="10:14">
      <c r="J223" s="5"/>
      <c r="N223" s="5"/>
    </row>
    <row r="224" spans="10:14">
      <c r="J224" s="5"/>
      <c r="N224" s="5"/>
    </row>
    <row r="225" spans="10:14">
      <c r="J225" s="5"/>
      <c r="N225" s="5"/>
    </row>
    <row r="226" spans="10:14">
      <c r="J226" s="5"/>
      <c r="N226" s="5"/>
    </row>
    <row r="227" spans="10:14">
      <c r="J227" s="5"/>
      <c r="N227" s="5"/>
    </row>
    <row r="228" spans="10:14">
      <c r="J228" s="5"/>
      <c r="N228" s="5"/>
    </row>
    <row r="229" spans="10:14">
      <c r="J229" s="5"/>
      <c r="N229" s="5"/>
    </row>
    <row r="230" spans="10:14">
      <c r="J230" s="5"/>
      <c r="N230" s="5"/>
    </row>
    <row r="231" spans="10:14">
      <c r="J231" s="5"/>
      <c r="N231" s="5"/>
    </row>
    <row r="232" spans="10:14">
      <c r="J232" s="5"/>
      <c r="N232" s="5"/>
    </row>
    <row r="233" spans="10:14">
      <c r="J233" s="5"/>
      <c r="N233" s="5"/>
    </row>
    <row r="234" spans="10:14">
      <c r="J234" s="5"/>
      <c r="N234" s="5"/>
    </row>
    <row r="235" spans="10:14">
      <c r="J235" s="5"/>
      <c r="N235" s="5"/>
    </row>
    <row r="236" spans="10:14">
      <c r="J236" s="5"/>
      <c r="N236" s="5"/>
    </row>
    <row r="237" spans="10:14">
      <c r="J237" s="5"/>
      <c r="N237" s="5"/>
    </row>
    <row r="238" spans="10:14">
      <c r="J238" s="5"/>
      <c r="N238" s="5"/>
    </row>
    <row r="239" spans="10:14">
      <c r="J239" s="5"/>
      <c r="N239" s="5"/>
    </row>
    <row r="240" spans="10:14">
      <c r="J240" s="5"/>
      <c r="N240" s="5"/>
    </row>
    <row r="241" spans="10:14">
      <c r="J241" s="5"/>
      <c r="N241" s="5"/>
    </row>
    <row r="242" spans="10:14">
      <c r="J242" s="5"/>
      <c r="N242" s="5"/>
    </row>
    <row r="243" spans="10:14">
      <c r="J243" s="5"/>
      <c r="N243" s="5"/>
    </row>
    <row r="244" spans="10:14">
      <c r="J244" s="5"/>
      <c r="N244" s="5"/>
    </row>
    <row r="245" spans="10:14">
      <c r="J245" s="5"/>
      <c r="N245" s="5"/>
    </row>
    <row r="246" spans="10:14">
      <c r="J246" s="5"/>
      <c r="N246" s="5"/>
    </row>
    <row r="247" spans="10:14">
      <c r="J247" s="5"/>
      <c r="N247" s="5"/>
    </row>
    <row r="248" spans="10:14">
      <c r="J248" s="5"/>
      <c r="N248" s="5"/>
    </row>
    <row r="249" spans="10:14">
      <c r="J249" s="5"/>
      <c r="N249" s="5"/>
    </row>
    <row r="250" spans="10:14">
      <c r="J250" s="5"/>
      <c r="N250" s="5"/>
    </row>
    <row r="251" spans="10:14">
      <c r="J251" s="5"/>
      <c r="N251" s="5"/>
    </row>
    <row r="252" spans="10:14">
      <c r="J252" s="5"/>
      <c r="N252" s="5"/>
    </row>
    <row r="253" spans="10:14">
      <c r="J253" s="5"/>
      <c r="N253" s="5"/>
    </row>
    <row r="254" spans="10:14">
      <c r="J254" s="5"/>
      <c r="N254" s="5"/>
    </row>
    <row r="255" spans="10:14">
      <c r="J255" s="5"/>
      <c r="N255" s="5"/>
    </row>
    <row r="256" spans="10:14">
      <c r="J256" s="5"/>
      <c r="N256" s="5"/>
    </row>
    <row r="257" spans="10:14">
      <c r="J257" s="5"/>
      <c r="N257" s="5"/>
    </row>
    <row r="258" spans="10:14">
      <c r="J258" s="5"/>
      <c r="N258" s="5"/>
    </row>
    <row r="259" spans="10:14">
      <c r="J259" s="5"/>
      <c r="N259" s="5"/>
    </row>
    <row r="260" spans="10:14">
      <c r="J260" s="5"/>
      <c r="N260" s="5"/>
    </row>
    <row r="261" spans="10:14">
      <c r="J261" s="5"/>
      <c r="N261" s="5"/>
    </row>
    <row r="262" spans="10:14">
      <c r="J262" s="5"/>
      <c r="N262" s="5"/>
    </row>
    <row r="263" spans="10:14">
      <c r="J263" s="5"/>
      <c r="N263" s="5"/>
    </row>
    <row r="264" spans="10:14">
      <c r="J264" s="5"/>
      <c r="N264" s="5"/>
    </row>
    <row r="265" spans="10:14">
      <c r="J265" s="5"/>
      <c r="N265" s="5"/>
    </row>
    <row r="266" spans="10:14">
      <c r="J266" s="5"/>
      <c r="N266" s="5"/>
    </row>
    <row r="267" spans="10:14">
      <c r="J267" s="5"/>
      <c r="N267" s="5"/>
    </row>
    <row r="268" spans="10:14">
      <c r="J268" s="5"/>
      <c r="N268" s="5"/>
    </row>
    <row r="269" spans="10:14">
      <c r="J269" s="5"/>
      <c r="N269" s="5"/>
    </row>
    <row r="270" spans="10:14">
      <c r="J270" s="5"/>
      <c r="N270" s="5"/>
    </row>
    <row r="271" spans="10:14">
      <c r="J271" s="5"/>
      <c r="N271" s="5"/>
    </row>
    <row r="272" spans="10:14">
      <c r="J272" s="5"/>
      <c r="N272" s="5"/>
    </row>
    <row r="273" spans="10:14">
      <c r="J273" s="5"/>
      <c r="N273" s="5"/>
    </row>
    <row r="274" spans="10:14">
      <c r="J274" s="5"/>
      <c r="N274" s="5"/>
    </row>
    <row r="275" spans="10:14">
      <c r="J275" s="5"/>
      <c r="N275" s="5"/>
    </row>
    <row r="276" spans="10:14">
      <c r="J276" s="5"/>
      <c r="N276" s="5"/>
    </row>
    <row r="277" spans="10:14">
      <c r="J277" s="5"/>
      <c r="N277" s="5"/>
    </row>
    <row r="278" spans="10:14">
      <c r="J278" s="5"/>
      <c r="N278" s="5"/>
    </row>
    <row r="279" spans="10:14">
      <c r="J279" s="5"/>
      <c r="N279" s="5"/>
    </row>
    <row r="280" spans="10:14">
      <c r="J280" s="5"/>
      <c r="N280" s="5"/>
    </row>
    <row r="281" spans="10:14">
      <c r="J281" s="5"/>
      <c r="N281" s="5"/>
    </row>
    <row r="282" spans="10:14">
      <c r="J282" s="5"/>
      <c r="N282" s="5"/>
    </row>
    <row r="283" spans="10:14">
      <c r="J283" s="5"/>
      <c r="N283" s="5"/>
    </row>
    <row r="284" spans="10:14">
      <c r="J284" s="5"/>
      <c r="N284" s="5"/>
    </row>
    <row r="285" spans="10:14">
      <c r="J285" s="5"/>
      <c r="N285" s="5"/>
    </row>
    <row r="286" spans="10:14">
      <c r="J286" s="5"/>
      <c r="N286" s="5"/>
    </row>
    <row r="287" spans="10:14">
      <c r="J287" s="5"/>
      <c r="N287" s="5"/>
    </row>
    <row r="288" spans="10:14">
      <c r="J288" s="5"/>
      <c r="N288" s="5"/>
    </row>
    <row r="289" spans="10:14">
      <c r="J289" s="5"/>
      <c r="N289" s="5"/>
    </row>
    <row r="290" spans="10:14">
      <c r="J290" s="5"/>
      <c r="N290" s="5"/>
    </row>
    <row r="291" spans="10:14">
      <c r="J291" s="5"/>
      <c r="N291" s="5"/>
    </row>
    <row r="292" spans="10:14">
      <c r="J292" s="5"/>
      <c r="N292" s="5"/>
    </row>
    <row r="293" spans="10:14">
      <c r="J293" s="5"/>
      <c r="N293" s="5"/>
    </row>
    <row r="294" spans="10:14">
      <c r="J294" s="5"/>
      <c r="N294" s="5"/>
    </row>
    <row r="295" spans="10:14">
      <c r="J295" s="5"/>
      <c r="N295" s="5"/>
    </row>
    <row r="296" spans="10:14">
      <c r="J296" s="5"/>
      <c r="N296" s="5"/>
    </row>
    <row r="297" spans="10:14">
      <c r="J297" s="5"/>
      <c r="N297" s="5"/>
    </row>
    <row r="298" spans="10:14">
      <c r="J298" s="5"/>
      <c r="N298" s="5"/>
    </row>
    <row r="299" spans="10:14">
      <c r="J299" s="5"/>
      <c r="N299" s="5"/>
    </row>
    <row r="300" spans="10:14">
      <c r="J300" s="5"/>
      <c r="N300" s="5"/>
    </row>
    <row r="301" spans="10:14">
      <c r="J301" s="5"/>
      <c r="N301" s="5"/>
    </row>
    <row r="302" spans="10:14">
      <c r="J302" s="5"/>
      <c r="N302" s="5"/>
    </row>
    <row r="303" spans="10:14">
      <c r="J303" s="5"/>
      <c r="N303" s="5"/>
    </row>
    <row r="304" spans="10:14">
      <c r="J304" s="5"/>
      <c r="N304" s="5"/>
    </row>
    <row r="305" spans="10:14">
      <c r="J305" s="5"/>
      <c r="N305" s="5"/>
    </row>
    <row r="306" spans="10:14">
      <c r="J306" s="5"/>
      <c r="N306" s="5"/>
    </row>
    <row r="307" spans="10:14">
      <c r="J307" s="5"/>
      <c r="N307" s="5"/>
    </row>
    <row r="308" spans="10:14">
      <c r="J308" s="5"/>
      <c r="N308" s="5"/>
    </row>
    <row r="309" spans="10:14">
      <c r="J309" s="5"/>
      <c r="N309" s="5"/>
    </row>
    <row r="310" spans="10:14">
      <c r="J310" s="5"/>
      <c r="N310" s="5"/>
    </row>
    <row r="311" spans="10:14">
      <c r="J311" s="5"/>
      <c r="N311" s="5"/>
    </row>
    <row r="312" spans="10:14">
      <c r="J312" s="5"/>
      <c r="N312" s="5"/>
    </row>
    <row r="313" spans="10:14">
      <c r="J313" s="5"/>
      <c r="N313" s="5"/>
    </row>
    <row r="314" spans="10:14">
      <c r="J314" s="5"/>
      <c r="N314" s="5"/>
    </row>
    <row r="315" spans="10:14">
      <c r="J315" s="5"/>
      <c r="N315" s="5"/>
    </row>
    <row r="316" spans="10:14">
      <c r="J316" s="5"/>
      <c r="N316" s="5"/>
    </row>
    <row r="317" spans="10:14">
      <c r="J317" s="5"/>
      <c r="N317" s="5"/>
    </row>
    <row r="318" spans="10:14">
      <c r="J318" s="5"/>
      <c r="N318" s="5"/>
    </row>
    <row r="319" spans="10:14">
      <c r="J319" s="5"/>
      <c r="N319" s="5"/>
    </row>
    <row r="320" spans="10:14">
      <c r="J320" s="5"/>
      <c r="N320" s="5"/>
    </row>
    <row r="321" spans="10:14">
      <c r="J321" s="5"/>
      <c r="N321" s="5"/>
    </row>
    <row r="322" spans="10:14">
      <c r="J322" s="5"/>
      <c r="N322" s="5"/>
    </row>
    <row r="323" spans="10:14">
      <c r="J323" s="5"/>
      <c r="N323" s="5"/>
    </row>
    <row r="324" spans="10:14">
      <c r="J324" s="5"/>
      <c r="N324" s="5"/>
    </row>
    <row r="325" spans="10:14">
      <c r="J325" s="5"/>
      <c r="N325" s="5"/>
    </row>
    <row r="326" spans="10:14">
      <c r="J326" s="5"/>
      <c r="N326" s="5"/>
    </row>
    <row r="327" spans="10:14">
      <c r="J327" s="5"/>
      <c r="N327" s="5"/>
    </row>
    <row r="328" spans="10:14">
      <c r="J328" s="5"/>
      <c r="N328" s="5"/>
    </row>
    <row r="329" spans="10:14">
      <c r="J329" s="5"/>
      <c r="N329" s="5"/>
    </row>
    <row r="330" spans="10:14">
      <c r="J330" s="5"/>
      <c r="N330" s="5"/>
    </row>
    <row r="331" spans="10:14">
      <c r="J331" s="5"/>
      <c r="N331" s="5"/>
    </row>
    <row r="332" spans="10:14">
      <c r="J332" s="5"/>
      <c r="N332" s="5"/>
    </row>
    <row r="333" spans="10:14">
      <c r="J333" s="5"/>
      <c r="N333" s="5"/>
    </row>
    <row r="334" spans="10:14">
      <c r="J334" s="5"/>
      <c r="N334" s="5"/>
    </row>
    <row r="335" spans="10:14">
      <c r="J335" s="5"/>
      <c r="N335" s="5"/>
    </row>
    <row r="336" spans="10:14">
      <c r="J336" s="5"/>
      <c r="N336" s="5"/>
    </row>
    <row r="337" spans="10:14">
      <c r="J337" s="5"/>
      <c r="N337" s="5"/>
    </row>
    <row r="338" spans="10:14">
      <c r="J338" s="5"/>
      <c r="N338" s="5"/>
    </row>
    <row r="339" spans="10:14">
      <c r="J339" s="5"/>
      <c r="N339" s="5"/>
    </row>
    <row r="340" spans="10:14">
      <c r="J340" s="5"/>
      <c r="N340" s="5"/>
    </row>
    <row r="341" spans="10:14">
      <c r="J341" s="5"/>
      <c r="N341" s="5"/>
    </row>
    <row r="342" spans="10:14">
      <c r="J342" s="5"/>
      <c r="N342" s="5"/>
    </row>
    <row r="343" spans="10:14">
      <c r="J343" s="5"/>
      <c r="N343" s="5"/>
    </row>
    <row r="344" spans="10:14">
      <c r="J344" s="5"/>
      <c r="N344" s="5"/>
    </row>
    <row r="345" spans="10:14">
      <c r="J345" s="5"/>
      <c r="N345" s="5"/>
    </row>
    <row r="346" spans="10:14">
      <c r="J346" s="5"/>
      <c r="N346" s="5"/>
    </row>
    <row r="347" spans="10:14">
      <c r="J347" s="5"/>
      <c r="N347" s="5"/>
    </row>
    <row r="348" spans="10:14">
      <c r="J348" s="5"/>
      <c r="N348" s="5"/>
    </row>
    <row r="349" spans="10:14">
      <c r="J349" s="5"/>
      <c r="N349" s="5"/>
    </row>
    <row r="350" spans="10:14">
      <c r="J350" s="5"/>
      <c r="N350" s="5"/>
    </row>
    <row r="351" spans="10:14">
      <c r="J351" s="5"/>
      <c r="N351" s="5"/>
    </row>
    <row r="352" spans="10:14">
      <c r="J352" s="5"/>
      <c r="N352" s="5"/>
    </row>
    <row r="353" spans="10:14">
      <c r="J353" s="5"/>
      <c r="N353" s="5"/>
    </row>
    <row r="354" spans="10:14">
      <c r="J354" s="5"/>
      <c r="N354" s="5"/>
    </row>
    <row r="355" spans="10:14">
      <c r="J355" s="5"/>
      <c r="N355" s="5"/>
    </row>
    <row r="356" spans="10:14">
      <c r="J356" s="5"/>
      <c r="N356" s="5"/>
    </row>
    <row r="357" spans="10:14">
      <c r="J357" s="5"/>
      <c r="N357" s="5"/>
    </row>
    <row r="358" spans="10:14">
      <c r="J358" s="5"/>
      <c r="N358" s="5"/>
    </row>
    <row r="359" spans="10:14">
      <c r="J359" s="5"/>
      <c r="N359" s="5"/>
    </row>
    <row r="360" spans="10:14">
      <c r="J360" s="5"/>
      <c r="N360" s="5"/>
    </row>
    <row r="361" spans="10:14">
      <c r="J361" s="5"/>
      <c r="N361" s="5"/>
    </row>
    <row r="362" spans="10:14">
      <c r="J362" s="5"/>
      <c r="N362" s="5"/>
    </row>
    <row r="363" spans="10:14">
      <c r="J363" s="5"/>
      <c r="N363" s="5"/>
    </row>
    <row r="364" spans="10:14">
      <c r="J364" s="5"/>
      <c r="N364" s="5"/>
    </row>
    <row r="365" spans="10:14">
      <c r="J365" s="5"/>
      <c r="N365" s="5"/>
    </row>
    <row r="366" spans="10:14">
      <c r="J366" s="5"/>
      <c r="N366" s="5"/>
    </row>
    <row r="367" spans="10:14">
      <c r="J367" s="5"/>
      <c r="N367" s="5"/>
    </row>
    <row r="368" spans="10:14">
      <c r="J368" s="5"/>
      <c r="N368" s="5"/>
    </row>
    <row r="369" spans="10:14">
      <c r="J369" s="5"/>
      <c r="N369" s="5"/>
    </row>
    <row r="370" spans="10:14">
      <c r="J370" s="5"/>
      <c r="N370" s="5"/>
    </row>
    <row r="371" spans="10:14">
      <c r="J371" s="5"/>
      <c r="N371" s="5"/>
    </row>
    <row r="372" spans="10:14">
      <c r="J372" s="5"/>
      <c r="N372" s="5"/>
    </row>
    <row r="373" spans="10:14">
      <c r="J373" s="5"/>
      <c r="N373" s="5"/>
    </row>
    <row r="374" spans="10:14">
      <c r="J374" s="5"/>
      <c r="N374" s="5"/>
    </row>
    <row r="375" spans="10:14">
      <c r="J375" s="5"/>
      <c r="N375" s="5"/>
    </row>
    <row r="376" spans="10:14">
      <c r="J376" s="5"/>
      <c r="N376" s="5"/>
    </row>
    <row r="377" spans="10:14">
      <c r="J377" s="5"/>
      <c r="N377" s="5"/>
    </row>
    <row r="378" spans="10:14">
      <c r="J378" s="5"/>
      <c r="N378" s="5"/>
    </row>
    <row r="379" spans="10:14">
      <c r="J379" s="5"/>
      <c r="N379" s="5"/>
    </row>
    <row r="380" spans="10:14">
      <c r="J380" s="5"/>
      <c r="N380" s="5"/>
    </row>
    <row r="381" spans="10:14">
      <c r="J381" s="5"/>
      <c r="N381" s="5"/>
    </row>
    <row r="382" spans="10:14">
      <c r="J382" s="5"/>
      <c r="N382" s="5"/>
    </row>
    <row r="383" spans="10:14">
      <c r="J383" s="5"/>
      <c r="N383" s="5"/>
    </row>
    <row r="384" spans="10:14">
      <c r="J384" s="5"/>
      <c r="N384" s="5"/>
    </row>
    <row r="385" spans="10:14">
      <c r="J385" s="5"/>
      <c r="N385" s="5"/>
    </row>
    <row r="386" spans="10:14">
      <c r="J386" s="5"/>
      <c r="N386" s="5"/>
    </row>
    <row r="387" spans="10:14">
      <c r="J387" s="5"/>
      <c r="N387" s="5"/>
    </row>
    <row r="388" spans="10:14">
      <c r="J388" s="5"/>
      <c r="N388" s="5"/>
    </row>
    <row r="389" spans="10:14">
      <c r="J389" s="5"/>
      <c r="N389" s="5"/>
    </row>
    <row r="390" spans="10:14">
      <c r="J390" s="5"/>
      <c r="N390" s="5"/>
    </row>
    <row r="391" spans="10:14">
      <c r="J391" s="5"/>
      <c r="N391" s="5"/>
    </row>
    <row r="392" spans="10:14">
      <c r="J392" s="5"/>
      <c r="N392" s="5"/>
    </row>
    <row r="393" spans="10:14">
      <c r="J393" s="5"/>
      <c r="N393" s="5"/>
    </row>
    <row r="394" spans="10:14">
      <c r="J394" s="5"/>
      <c r="N394" s="5"/>
    </row>
    <row r="395" spans="10:14">
      <c r="J395" s="5"/>
      <c r="N395" s="5"/>
    </row>
    <row r="396" spans="10:14">
      <c r="J396" s="5"/>
      <c r="N396" s="5"/>
    </row>
    <row r="397" spans="10:14">
      <c r="J397" s="5"/>
      <c r="N397" s="5"/>
    </row>
    <row r="398" spans="10:14">
      <c r="J398" s="5"/>
      <c r="N398" s="5"/>
    </row>
    <row r="399" spans="10:14">
      <c r="J399" s="5"/>
      <c r="N399" s="5"/>
    </row>
    <row r="400" spans="10:14">
      <c r="J400" s="5"/>
      <c r="N400" s="5"/>
    </row>
    <row r="401" spans="10:14">
      <c r="J401" s="5"/>
      <c r="N401" s="5"/>
    </row>
    <row r="402" spans="10:14">
      <c r="J402" s="5"/>
      <c r="N402" s="5"/>
    </row>
    <row r="403" spans="10:14">
      <c r="J403" s="5"/>
      <c r="N403" s="5"/>
    </row>
    <row r="404" spans="10:14">
      <c r="J404" s="5"/>
      <c r="N404" s="5"/>
    </row>
    <row r="405" spans="10:14">
      <c r="J405" s="5"/>
      <c r="N405" s="5"/>
    </row>
    <row r="406" spans="10:14">
      <c r="J406" s="5"/>
      <c r="N406" s="5"/>
    </row>
    <row r="407" spans="10:14">
      <c r="J407" s="5"/>
      <c r="N407" s="5"/>
    </row>
    <row r="408" spans="10:14">
      <c r="J408" s="5"/>
      <c r="N408" s="5"/>
    </row>
    <row r="409" spans="10:14">
      <c r="J409" s="5"/>
      <c r="N409" s="5"/>
    </row>
    <row r="410" spans="10:14">
      <c r="J410" s="5"/>
      <c r="N410" s="5"/>
    </row>
    <row r="411" spans="10:14">
      <c r="J411" s="5"/>
      <c r="N411" s="5"/>
    </row>
    <row r="412" spans="10:14">
      <c r="J412" s="5"/>
      <c r="N412" s="5"/>
    </row>
    <row r="413" spans="10:14">
      <c r="J413" s="5"/>
      <c r="N413" s="5"/>
    </row>
    <row r="414" spans="10:14">
      <c r="J414" s="5"/>
      <c r="N414" s="5"/>
    </row>
    <row r="415" spans="10:14">
      <c r="J415" s="5"/>
      <c r="N415" s="5"/>
    </row>
    <row r="416" spans="10:14">
      <c r="J416" s="5"/>
      <c r="N416" s="5"/>
    </row>
    <row r="417" spans="10:14">
      <c r="J417" s="5"/>
      <c r="N417" s="5"/>
    </row>
    <row r="418" spans="10:14">
      <c r="J418" s="5"/>
      <c r="N418" s="5"/>
    </row>
    <row r="419" spans="10:14">
      <c r="J419" s="5"/>
      <c r="N419" s="5"/>
    </row>
    <row r="420" spans="10:14">
      <c r="J420" s="5"/>
      <c r="N420" s="5"/>
    </row>
    <row r="421" spans="10:14">
      <c r="J421" s="5"/>
      <c r="N421" s="5"/>
    </row>
    <row r="422" spans="10:14">
      <c r="J422" s="5"/>
      <c r="N422" s="5"/>
    </row>
    <row r="423" spans="10:14">
      <c r="J423" s="5"/>
      <c r="N423" s="5"/>
    </row>
    <row r="424" spans="10:14">
      <c r="J424" s="5"/>
      <c r="N424" s="5"/>
    </row>
    <row r="425" spans="10:14">
      <c r="J425" s="5"/>
      <c r="N425" s="5"/>
    </row>
    <row r="426" spans="10:14">
      <c r="J426" s="5"/>
      <c r="N426" s="5"/>
    </row>
    <row r="427" spans="10:14">
      <c r="J427" s="5"/>
      <c r="N427" s="5"/>
    </row>
    <row r="428" spans="10:14">
      <c r="J428" s="5"/>
      <c r="N428" s="5"/>
    </row>
    <row r="429" spans="10:14">
      <c r="J429" s="5"/>
      <c r="N429" s="5"/>
    </row>
    <row r="430" spans="10:14">
      <c r="J430" s="5"/>
      <c r="N430" s="5"/>
    </row>
    <row r="431" spans="10:14">
      <c r="J431" s="5"/>
      <c r="N431" s="5"/>
    </row>
    <row r="432" spans="10:14">
      <c r="J432" s="5"/>
      <c r="N432" s="5"/>
    </row>
    <row r="433" spans="10:14">
      <c r="J433" s="5"/>
      <c r="N433" s="5"/>
    </row>
    <row r="434" spans="10:14">
      <c r="J434" s="5"/>
      <c r="N434" s="5"/>
    </row>
    <row r="435" spans="10:14">
      <c r="J435" s="5"/>
      <c r="N435" s="5"/>
    </row>
    <row r="436" spans="10:14">
      <c r="J436" s="5"/>
      <c r="N436" s="5"/>
    </row>
    <row r="437" spans="10:14">
      <c r="J437" s="5"/>
      <c r="N437" s="5"/>
    </row>
    <row r="438" spans="10:14">
      <c r="J438" s="5"/>
      <c r="N438" s="5"/>
    </row>
    <row r="439" spans="10:14">
      <c r="J439" s="5"/>
      <c r="N439" s="5"/>
    </row>
    <row r="440" spans="10:14">
      <c r="J440" s="5"/>
      <c r="N440" s="5"/>
    </row>
    <row r="441" spans="10:14">
      <c r="J441" s="5"/>
      <c r="N441" s="5"/>
    </row>
    <row r="442" spans="10:14">
      <c r="J442" s="5"/>
      <c r="N442" s="5"/>
    </row>
    <row r="443" spans="10:14">
      <c r="J443" s="5"/>
      <c r="N443" s="5"/>
    </row>
    <row r="444" spans="10:14">
      <c r="J444" s="5"/>
      <c r="N444" s="5"/>
    </row>
    <row r="445" spans="10:14">
      <c r="J445" s="5"/>
      <c r="N445" s="5"/>
    </row>
    <row r="446" spans="10:14">
      <c r="J446" s="5"/>
      <c r="N446" s="5"/>
    </row>
    <row r="447" spans="10:14">
      <c r="J447" s="5"/>
      <c r="N447" s="5"/>
    </row>
    <row r="448" spans="10:14">
      <c r="J448" s="5"/>
      <c r="N448" s="5"/>
    </row>
    <row r="449" spans="10:14">
      <c r="J449" s="5"/>
      <c r="N449" s="5"/>
    </row>
    <row r="450" spans="10:14">
      <c r="J450" s="5"/>
      <c r="N450" s="5"/>
    </row>
    <row r="451" spans="10:14">
      <c r="J451" s="5"/>
      <c r="N451" s="5"/>
    </row>
    <row r="452" spans="10:14">
      <c r="J452" s="5"/>
      <c r="N452" s="5"/>
    </row>
    <row r="453" spans="10:14">
      <c r="J453" s="5"/>
      <c r="N453" s="5"/>
    </row>
    <row r="454" spans="10:14">
      <c r="J454" s="5"/>
      <c r="N454" s="5"/>
    </row>
    <row r="455" spans="10:14">
      <c r="J455" s="5"/>
      <c r="N455" s="5"/>
    </row>
    <row r="456" spans="10:14">
      <c r="J456" s="5"/>
      <c r="N456" s="5"/>
    </row>
    <row r="457" spans="10:14">
      <c r="J457" s="5"/>
      <c r="N457" s="5"/>
    </row>
    <row r="458" spans="10:14">
      <c r="J458" s="5"/>
      <c r="N458" s="5"/>
    </row>
    <row r="459" spans="10:14">
      <c r="J459" s="5"/>
      <c r="N459" s="5"/>
    </row>
    <row r="460" spans="10:14">
      <c r="J460" s="5"/>
      <c r="N460" s="5"/>
    </row>
    <row r="461" spans="10:14">
      <c r="J461" s="5"/>
      <c r="N461" s="5"/>
    </row>
    <row r="462" spans="10:14">
      <c r="J462" s="5"/>
      <c r="N462" s="5"/>
    </row>
    <row r="463" spans="10:14">
      <c r="J463" s="5"/>
      <c r="N463" s="5"/>
    </row>
    <row r="464" spans="10:14">
      <c r="J464" s="5"/>
      <c r="N464" s="5"/>
    </row>
    <row r="465" spans="10:14">
      <c r="J465" s="5"/>
      <c r="N465" s="5"/>
    </row>
    <row r="466" spans="10:14">
      <c r="J466" s="5"/>
      <c r="N466" s="5"/>
    </row>
    <row r="467" spans="10:14">
      <c r="J467" s="5"/>
      <c r="N467" s="5"/>
    </row>
    <row r="468" spans="10:14">
      <c r="J468" s="5"/>
      <c r="N468" s="5"/>
    </row>
    <row r="469" spans="10:14">
      <c r="J469" s="5"/>
      <c r="N469" s="5"/>
    </row>
    <row r="470" spans="10:14">
      <c r="J470" s="5"/>
      <c r="N470" s="5"/>
    </row>
    <row r="471" spans="10:14">
      <c r="J471" s="5"/>
      <c r="N471" s="5"/>
    </row>
    <row r="472" spans="10:14">
      <c r="J472" s="5"/>
      <c r="N472" s="5"/>
    </row>
    <row r="473" spans="10:14">
      <c r="J473" s="5"/>
      <c r="N473" s="5"/>
    </row>
    <row r="474" spans="10:14">
      <c r="J474" s="5"/>
      <c r="N474" s="5"/>
    </row>
    <row r="475" spans="10:14">
      <c r="J475" s="5"/>
      <c r="N475" s="5"/>
    </row>
    <row r="476" spans="10:14">
      <c r="J476" s="5"/>
      <c r="N476" s="5"/>
    </row>
    <row r="477" spans="10:14">
      <c r="J477" s="5"/>
      <c r="N477" s="5"/>
    </row>
    <row r="478" spans="10:14">
      <c r="J478" s="5"/>
      <c r="N478" s="5"/>
    </row>
    <row r="479" spans="10:14">
      <c r="J479" s="5"/>
      <c r="N479" s="5"/>
    </row>
    <row r="480" spans="10:14">
      <c r="J480" s="5"/>
      <c r="N480" s="5"/>
    </row>
    <row r="481" spans="10:14">
      <c r="J481" s="5"/>
      <c r="N481" s="5"/>
    </row>
    <row r="482" spans="10:14">
      <c r="J482" s="5"/>
      <c r="N482" s="5"/>
    </row>
    <row r="483" spans="10:14">
      <c r="J483" s="5"/>
      <c r="N483" s="5"/>
    </row>
    <row r="484" spans="10:14">
      <c r="J484" s="5"/>
      <c r="N484" s="5"/>
    </row>
    <row r="485" spans="10:14">
      <c r="J485" s="5"/>
      <c r="N485" s="5"/>
    </row>
    <row r="486" spans="10:14">
      <c r="J486" s="5"/>
      <c r="N486" s="5"/>
    </row>
    <row r="487" spans="10:14">
      <c r="J487" s="5"/>
      <c r="N487" s="5"/>
    </row>
    <row r="488" spans="10:14">
      <c r="J488" s="5"/>
      <c r="N488" s="5"/>
    </row>
    <row r="489" spans="10:14">
      <c r="J489" s="5"/>
      <c r="N489" s="5"/>
    </row>
    <row r="490" spans="10:14">
      <c r="J490" s="5"/>
      <c r="N490" s="5"/>
    </row>
    <row r="491" spans="10:14">
      <c r="J491" s="5"/>
      <c r="N491" s="5"/>
    </row>
    <row r="492" spans="10:14">
      <c r="J492" s="5"/>
      <c r="N492" s="5"/>
    </row>
    <row r="493" spans="10:14">
      <c r="J493" s="5"/>
      <c r="N493" s="5"/>
    </row>
    <row r="494" spans="10:14">
      <c r="J494" s="5"/>
      <c r="N494" s="5"/>
    </row>
    <row r="495" spans="10:14">
      <c r="J495" s="5"/>
      <c r="N495" s="5"/>
    </row>
    <row r="496" spans="10:14">
      <c r="J496" s="5"/>
      <c r="N496" s="5"/>
    </row>
    <row r="497" spans="10:14">
      <c r="J497" s="5"/>
      <c r="N497" s="5"/>
    </row>
    <row r="498" spans="10:14">
      <c r="J498" s="5"/>
      <c r="N498" s="5"/>
    </row>
    <row r="499" spans="10:14">
      <c r="J499" s="5"/>
      <c r="N499" s="5"/>
    </row>
    <row r="500" spans="10:14">
      <c r="J500" s="5"/>
      <c r="N500" s="5"/>
    </row>
    <row r="501" spans="10:14">
      <c r="J501" s="5"/>
      <c r="N501" s="5"/>
    </row>
    <row r="502" spans="10:14">
      <c r="J502" s="5"/>
      <c r="N502" s="5"/>
    </row>
    <row r="503" spans="10:14">
      <c r="J503" s="5"/>
      <c r="N503" s="5"/>
    </row>
    <row r="504" spans="10:14">
      <c r="J504" s="5"/>
      <c r="N504" s="5"/>
    </row>
    <row r="505" spans="10:14">
      <c r="J505" s="5"/>
      <c r="N505" s="5"/>
    </row>
    <row r="506" spans="10:14">
      <c r="J506" s="5"/>
      <c r="N506" s="5"/>
    </row>
    <row r="507" spans="10:14">
      <c r="J507" s="5"/>
      <c r="N507" s="5"/>
    </row>
    <row r="508" spans="10:14">
      <c r="J508" s="5"/>
      <c r="N508" s="5"/>
    </row>
    <row r="509" spans="10:14">
      <c r="J509" s="5"/>
      <c r="N509" s="5"/>
    </row>
    <row r="510" spans="10:14">
      <c r="J510" s="5"/>
      <c r="N510" s="5"/>
    </row>
    <row r="511" spans="10:14">
      <c r="J511" s="5"/>
      <c r="N511" s="5"/>
    </row>
    <row r="512" spans="10:14">
      <c r="J512" s="5"/>
      <c r="N512" s="5"/>
    </row>
    <row r="513" spans="10:14">
      <c r="J513" s="5"/>
      <c r="N513" s="5"/>
    </row>
    <row r="514" spans="10:14">
      <c r="J514" s="5"/>
      <c r="N514" s="5"/>
    </row>
    <row r="515" spans="10:14">
      <c r="J515" s="5"/>
      <c r="N515" s="5"/>
    </row>
    <row r="516" spans="10:14">
      <c r="J516" s="5"/>
      <c r="N516" s="5"/>
    </row>
    <row r="517" spans="10:14">
      <c r="J517" s="5"/>
      <c r="N517" s="5"/>
    </row>
    <row r="518" spans="10:14">
      <c r="J518" s="5"/>
      <c r="N518" s="5"/>
    </row>
    <row r="519" spans="10:14">
      <c r="J519" s="5"/>
      <c r="N519" s="5"/>
    </row>
    <row r="520" spans="10:14">
      <c r="J520" s="5"/>
      <c r="N520" s="5"/>
    </row>
    <row r="521" spans="10:14">
      <c r="J521" s="5"/>
      <c r="N521" s="5"/>
    </row>
    <row r="522" spans="10:14">
      <c r="J522" s="5"/>
      <c r="N522" s="5"/>
    </row>
    <row r="523" spans="10:14">
      <c r="J523" s="5"/>
      <c r="N523" s="5"/>
    </row>
    <row r="524" spans="10:14">
      <c r="J524" s="5"/>
      <c r="N524" s="5"/>
    </row>
    <row r="525" spans="10:14">
      <c r="J525" s="5"/>
      <c r="N525" s="5"/>
    </row>
    <row r="526" spans="10:14">
      <c r="J526" s="5"/>
      <c r="N526" s="5"/>
    </row>
    <row r="527" spans="10:14">
      <c r="J527" s="5"/>
      <c r="N527" s="5"/>
    </row>
    <row r="528" spans="10:14">
      <c r="J528" s="5"/>
      <c r="N528" s="5"/>
    </row>
    <row r="529" spans="10:14">
      <c r="J529" s="5"/>
      <c r="N529" s="5"/>
    </row>
    <row r="530" spans="10:14">
      <c r="J530" s="5"/>
      <c r="N530" s="5"/>
    </row>
    <row r="531" spans="10:14">
      <c r="J531" s="5"/>
      <c r="N531" s="5"/>
    </row>
    <row r="532" spans="10:14">
      <c r="J532" s="5"/>
      <c r="N532" s="5"/>
    </row>
    <row r="533" spans="10:14">
      <c r="J533" s="5"/>
      <c r="N533" s="5"/>
    </row>
    <row r="534" spans="10:14">
      <c r="J534" s="5"/>
      <c r="N534" s="5"/>
    </row>
    <row r="535" spans="10:14">
      <c r="J535" s="5"/>
      <c r="N535" s="5"/>
    </row>
    <row r="536" spans="10:14">
      <c r="J536" s="5"/>
      <c r="N536" s="5"/>
    </row>
    <row r="537" spans="10:14">
      <c r="J537" s="5"/>
      <c r="N537" s="5"/>
    </row>
    <row r="538" spans="10:14">
      <c r="J538" s="5"/>
      <c r="N538" s="5"/>
    </row>
    <row r="539" spans="10:14">
      <c r="J539" s="5"/>
      <c r="N539" s="5"/>
    </row>
    <row r="540" spans="10:14">
      <c r="J540" s="5"/>
      <c r="N540" s="5"/>
    </row>
    <row r="541" spans="10:14">
      <c r="J541" s="5"/>
      <c r="N541" s="5"/>
    </row>
    <row r="542" spans="10:14">
      <c r="J542" s="5"/>
      <c r="N542" s="5"/>
    </row>
    <row r="543" spans="10:14">
      <c r="J543" s="5"/>
      <c r="N543" s="5"/>
    </row>
    <row r="544" spans="10:14">
      <c r="J544" s="5"/>
      <c r="N544" s="5"/>
    </row>
    <row r="545" spans="10:14">
      <c r="J545" s="5"/>
      <c r="N545" s="5"/>
    </row>
    <row r="546" spans="10:14">
      <c r="J546" s="5"/>
      <c r="N546" s="5"/>
    </row>
    <row r="547" spans="10:14">
      <c r="J547" s="5"/>
      <c r="N547" s="5"/>
    </row>
    <row r="548" spans="10:14">
      <c r="J548" s="5"/>
      <c r="N548" s="5"/>
    </row>
    <row r="549" spans="10:14">
      <c r="J549" s="5"/>
      <c r="N549" s="5"/>
    </row>
    <row r="550" spans="10:14">
      <c r="J550" s="5"/>
      <c r="N550" s="5"/>
    </row>
    <row r="551" spans="10:14">
      <c r="J551" s="5"/>
      <c r="N551" s="5"/>
    </row>
    <row r="552" spans="10:14">
      <c r="J552" s="5"/>
      <c r="N552" s="5"/>
    </row>
    <row r="553" spans="10:14">
      <c r="J553" s="5"/>
      <c r="N553" s="5"/>
    </row>
    <row r="554" spans="10:14">
      <c r="J554" s="5"/>
      <c r="N554" s="5"/>
    </row>
    <row r="555" spans="10:14">
      <c r="J555" s="5"/>
      <c r="N555" s="5"/>
    </row>
    <row r="556" spans="10:14">
      <c r="J556" s="5"/>
      <c r="N556" s="5"/>
    </row>
    <row r="557" spans="10:14">
      <c r="J557" s="5"/>
      <c r="N557" s="5"/>
    </row>
    <row r="558" spans="10:14">
      <c r="J558" s="5"/>
      <c r="N558" s="5"/>
    </row>
    <row r="559" spans="10:14">
      <c r="J559" s="5"/>
      <c r="N559" s="5"/>
    </row>
    <row r="560" spans="10:14">
      <c r="J560" s="5"/>
      <c r="N560" s="5"/>
    </row>
    <row r="561" spans="10:14">
      <c r="J561" s="5"/>
      <c r="N561" s="5"/>
    </row>
    <row r="562" spans="10:14">
      <c r="J562" s="5"/>
      <c r="N562" s="5"/>
    </row>
    <row r="563" spans="10:14">
      <c r="J563" s="5"/>
      <c r="N563" s="5"/>
    </row>
    <row r="564" spans="10:14">
      <c r="J564" s="5"/>
      <c r="N564" s="5"/>
    </row>
    <row r="565" spans="10:14">
      <c r="J565" s="5"/>
      <c r="N565" s="5"/>
    </row>
    <row r="566" spans="10:14">
      <c r="J566" s="5"/>
      <c r="N566" s="5"/>
    </row>
    <row r="567" spans="10:14">
      <c r="J567" s="5"/>
      <c r="N567" s="5"/>
    </row>
    <row r="568" spans="10:14">
      <c r="J568" s="5"/>
      <c r="N568" s="5"/>
    </row>
    <row r="569" spans="10:14">
      <c r="J569" s="5"/>
      <c r="N569" s="5"/>
    </row>
    <row r="570" spans="10:14">
      <c r="J570" s="5"/>
      <c r="N570" s="5"/>
    </row>
    <row r="571" spans="10:14">
      <c r="J571" s="5"/>
      <c r="N571" s="5"/>
    </row>
    <row r="572" spans="10:14">
      <c r="J572" s="5"/>
      <c r="N572" s="5"/>
    </row>
    <row r="573" spans="10:14">
      <c r="J573" s="5"/>
      <c r="N573" s="5"/>
    </row>
    <row r="574" spans="10:14">
      <c r="J574" s="5"/>
      <c r="N574" s="5"/>
    </row>
    <row r="575" spans="10:14">
      <c r="J575" s="5"/>
      <c r="N575" s="5"/>
    </row>
    <row r="576" spans="10:14">
      <c r="J576" s="5"/>
      <c r="N576" s="5"/>
    </row>
    <row r="577" spans="10:14">
      <c r="J577" s="5"/>
      <c r="N577" s="5"/>
    </row>
    <row r="578" spans="10:14">
      <c r="J578" s="5"/>
      <c r="N578" s="5"/>
    </row>
    <row r="579" spans="10:14">
      <c r="J579" s="5"/>
      <c r="N579" s="5"/>
    </row>
    <row r="580" spans="10:14">
      <c r="J580" s="5"/>
      <c r="N580" s="5"/>
    </row>
    <row r="581" spans="10:14">
      <c r="J581" s="5"/>
      <c r="N581" s="5"/>
    </row>
    <row r="582" spans="10:14">
      <c r="J582" s="5"/>
      <c r="N582" s="5"/>
    </row>
    <row r="583" spans="10:14">
      <c r="J583" s="5"/>
      <c r="N583" s="5"/>
    </row>
    <row r="584" spans="10:14">
      <c r="J584" s="5"/>
      <c r="N584" s="5"/>
    </row>
    <row r="585" spans="10:14">
      <c r="J585" s="5"/>
      <c r="N585" s="5"/>
    </row>
    <row r="586" spans="10:14">
      <c r="J586" s="5"/>
      <c r="N586" s="5"/>
    </row>
    <row r="587" spans="10:14">
      <c r="J587" s="5"/>
      <c r="N587" s="5"/>
    </row>
    <row r="588" spans="10:14">
      <c r="J588" s="5"/>
      <c r="N588" s="5"/>
    </row>
    <row r="589" spans="10:14">
      <c r="J589" s="5"/>
      <c r="N589" s="5"/>
    </row>
    <row r="590" spans="10:14">
      <c r="J590" s="5"/>
      <c r="N590" s="5"/>
    </row>
    <row r="591" spans="10:14">
      <c r="J591" s="5"/>
      <c r="N591" s="5"/>
    </row>
    <row r="592" spans="10:14">
      <c r="J592" s="5"/>
      <c r="N592" s="5"/>
    </row>
    <row r="593" spans="10:14">
      <c r="J593" s="5"/>
      <c r="N593" s="5"/>
    </row>
    <row r="594" spans="10:14">
      <c r="J594" s="5"/>
      <c r="N594" s="5"/>
    </row>
    <row r="595" spans="10:14">
      <c r="J595" s="5"/>
      <c r="N595" s="5"/>
    </row>
    <row r="596" spans="10:14">
      <c r="J596" s="5"/>
      <c r="N596" s="5"/>
    </row>
    <row r="597" spans="10:14">
      <c r="J597" s="5"/>
      <c r="N597" s="5"/>
    </row>
    <row r="598" spans="10:14">
      <c r="J598" s="5"/>
      <c r="N598" s="5"/>
    </row>
    <row r="599" spans="10:14">
      <c r="J599" s="5"/>
      <c r="N599" s="5"/>
    </row>
    <row r="600" spans="10:14">
      <c r="J600" s="5"/>
      <c r="N600" s="5"/>
    </row>
    <row r="601" spans="10:14">
      <c r="J601" s="5"/>
      <c r="N601" s="5"/>
    </row>
    <row r="602" spans="10:14">
      <c r="J602" s="5"/>
      <c r="N602" s="5"/>
    </row>
    <row r="603" spans="10:14">
      <c r="J603" s="5"/>
      <c r="N603" s="5"/>
    </row>
    <row r="604" spans="10:14">
      <c r="J604" s="5"/>
      <c r="N604" s="5"/>
    </row>
    <row r="605" spans="10:14">
      <c r="J605" s="5"/>
      <c r="N605" s="5"/>
    </row>
    <row r="606" spans="10:14">
      <c r="J606" s="5"/>
      <c r="N606" s="5"/>
    </row>
    <row r="607" spans="10:14">
      <c r="J607" s="5"/>
      <c r="N607" s="5"/>
    </row>
    <row r="608" spans="10:14">
      <c r="J608" s="5"/>
      <c r="N608" s="5"/>
    </row>
    <row r="609" spans="10:14">
      <c r="J609" s="5"/>
      <c r="N609" s="5"/>
    </row>
    <row r="610" spans="10:14">
      <c r="J610" s="5"/>
      <c r="N610" s="5"/>
    </row>
    <row r="611" spans="10:14">
      <c r="J611" s="5"/>
      <c r="N611" s="5"/>
    </row>
    <row r="612" spans="10:14">
      <c r="J612" s="5"/>
      <c r="N612" s="5"/>
    </row>
    <row r="613" spans="10:14">
      <c r="J613" s="5"/>
      <c r="N613" s="5"/>
    </row>
    <row r="614" spans="10:14">
      <c r="J614" s="5"/>
      <c r="N614" s="5"/>
    </row>
    <row r="615" spans="10:14">
      <c r="J615" s="5"/>
      <c r="N615" s="5"/>
    </row>
    <row r="616" spans="10:14">
      <c r="J616" s="5"/>
      <c r="N616" s="5"/>
    </row>
    <row r="617" spans="10:14">
      <c r="J617" s="5"/>
      <c r="N617" s="5"/>
    </row>
    <row r="618" spans="10:14">
      <c r="J618" s="5"/>
      <c r="N618" s="5"/>
    </row>
    <row r="619" spans="10:14">
      <c r="J619" s="5"/>
      <c r="N619" s="5"/>
    </row>
    <row r="620" spans="10:14">
      <c r="J620" s="5"/>
      <c r="N620" s="5"/>
    </row>
    <row r="621" spans="10:14">
      <c r="J621" s="5"/>
      <c r="N621" s="5"/>
    </row>
    <row r="622" spans="10:14">
      <c r="J622" s="5"/>
      <c r="N622" s="5"/>
    </row>
    <row r="623" spans="10:14">
      <c r="J623" s="5"/>
      <c r="N623" s="5"/>
    </row>
    <row r="624" spans="10:14">
      <c r="J624" s="5"/>
      <c r="N624" s="5"/>
    </row>
    <row r="625" spans="10:14">
      <c r="J625" s="5"/>
      <c r="N625" s="5"/>
    </row>
    <row r="626" spans="10:14">
      <c r="J626" s="5"/>
      <c r="N626" s="5"/>
    </row>
    <row r="627" spans="10:14">
      <c r="J627" s="5"/>
      <c r="N627" s="5"/>
    </row>
    <row r="628" spans="10:14">
      <c r="J628" s="5"/>
      <c r="N628" s="5"/>
    </row>
    <row r="629" spans="10:14">
      <c r="J629" s="5"/>
      <c r="N629" s="5"/>
    </row>
    <row r="630" spans="10:14">
      <c r="J630" s="5"/>
      <c r="N630" s="5"/>
    </row>
    <row r="631" spans="10:14">
      <c r="J631" s="5"/>
      <c r="N631" s="5"/>
    </row>
    <row r="632" spans="10:14">
      <c r="J632" s="5"/>
      <c r="N632" s="5"/>
    </row>
    <row r="633" spans="10:14">
      <c r="J633" s="5"/>
      <c r="N633" s="5"/>
    </row>
    <row r="634" spans="10:14">
      <c r="J634" s="5"/>
      <c r="N634" s="5"/>
    </row>
    <row r="635" spans="10:14">
      <c r="J635" s="5"/>
      <c r="N635" s="5"/>
    </row>
    <row r="636" spans="10:14">
      <c r="J636" s="5"/>
      <c r="N636" s="5"/>
    </row>
    <row r="637" spans="10:14">
      <c r="J637" s="5"/>
      <c r="N637" s="5"/>
    </row>
    <row r="638" spans="10:14">
      <c r="J638" s="5"/>
      <c r="N638" s="5"/>
    </row>
    <row r="639" spans="10:14">
      <c r="J639" s="5"/>
      <c r="N639" s="5"/>
    </row>
    <row r="640" spans="10:14">
      <c r="J640" s="5"/>
      <c r="N640" s="5"/>
    </row>
    <row r="641" spans="10:14">
      <c r="J641" s="5"/>
      <c r="N641" s="5"/>
    </row>
    <row r="642" spans="10:14">
      <c r="J642" s="5"/>
      <c r="N642" s="5"/>
    </row>
    <row r="643" spans="10:14">
      <c r="J643" s="5"/>
      <c r="N643" s="5"/>
    </row>
    <row r="644" spans="10:14">
      <c r="J644" s="5"/>
      <c r="N644" s="5"/>
    </row>
    <row r="645" spans="10:14">
      <c r="J645" s="5"/>
      <c r="N645" s="5"/>
    </row>
    <row r="646" spans="10:14">
      <c r="J646" s="5"/>
      <c r="N646" s="5"/>
    </row>
    <row r="647" spans="10:14">
      <c r="J647" s="5"/>
      <c r="N647" s="5"/>
    </row>
    <row r="648" spans="10:14">
      <c r="J648" s="5"/>
      <c r="N648" s="5"/>
    </row>
    <row r="649" spans="10:14">
      <c r="J649" s="5"/>
      <c r="N649" s="5"/>
    </row>
    <row r="650" spans="10:14">
      <c r="J650" s="5"/>
      <c r="N650" s="5"/>
    </row>
    <row r="651" spans="10:14">
      <c r="J651" s="5"/>
      <c r="N651" s="5"/>
    </row>
    <row r="652" spans="10:14">
      <c r="J652" s="5"/>
      <c r="N652" s="5"/>
    </row>
    <row r="653" spans="10:14">
      <c r="J653" s="5"/>
      <c r="N653" s="5"/>
    </row>
    <row r="654" spans="10:14">
      <c r="J654" s="5"/>
      <c r="N654" s="5"/>
    </row>
    <row r="655" spans="10:14">
      <c r="J655" s="5"/>
      <c r="N655" s="5"/>
    </row>
    <row r="656" spans="10:14">
      <c r="J656" s="5"/>
      <c r="N656" s="5"/>
    </row>
    <row r="657" spans="10:14">
      <c r="J657" s="5"/>
      <c r="N657" s="5"/>
    </row>
    <row r="658" spans="10:14">
      <c r="J658" s="5"/>
      <c r="N658" s="5"/>
    </row>
    <row r="659" spans="10:14">
      <c r="J659" s="5"/>
      <c r="N659" s="5"/>
    </row>
    <row r="660" spans="10:14">
      <c r="J660" s="5"/>
      <c r="N660" s="5"/>
    </row>
    <row r="661" spans="10:14">
      <c r="J661" s="5"/>
      <c r="N661" s="5"/>
    </row>
    <row r="662" spans="10:14">
      <c r="J662" s="5"/>
      <c r="N662" s="5"/>
    </row>
    <row r="663" spans="10:14">
      <c r="J663" s="5"/>
      <c r="N663" s="5"/>
    </row>
    <row r="664" spans="10:14">
      <c r="J664" s="5"/>
      <c r="N664" s="5"/>
    </row>
    <row r="665" spans="10:14">
      <c r="J665" s="5"/>
      <c r="N665" s="5"/>
    </row>
    <row r="666" spans="10:14">
      <c r="J666" s="5"/>
      <c r="N666" s="5"/>
    </row>
    <row r="667" spans="10:14">
      <c r="J667" s="5"/>
      <c r="N667" s="5"/>
    </row>
    <row r="668" spans="10:14">
      <c r="J668" s="5"/>
      <c r="N668" s="5"/>
    </row>
    <row r="669" spans="10:14">
      <c r="J669" s="5"/>
      <c r="N669" s="5"/>
    </row>
    <row r="670" spans="10:14">
      <c r="J670" s="5"/>
      <c r="N670" s="5"/>
    </row>
    <row r="671" spans="10:14">
      <c r="J671" s="5"/>
      <c r="N671" s="5"/>
    </row>
    <row r="672" spans="10:14">
      <c r="J672" s="5"/>
      <c r="N672" s="5"/>
    </row>
    <row r="673" spans="10:14">
      <c r="J673" s="5"/>
      <c r="N673" s="5"/>
    </row>
    <row r="674" spans="10:14">
      <c r="J674" s="5"/>
      <c r="N674" s="5"/>
    </row>
    <row r="675" spans="10:14">
      <c r="J675" s="5"/>
      <c r="N675" s="5"/>
    </row>
    <row r="676" spans="10:14">
      <c r="J676" s="5"/>
      <c r="N676" s="5"/>
    </row>
    <row r="677" spans="10:14">
      <c r="J677" s="5"/>
      <c r="N677" s="5"/>
    </row>
    <row r="678" spans="10:14">
      <c r="J678" s="5"/>
      <c r="N678" s="5"/>
    </row>
    <row r="679" spans="10:14">
      <c r="J679" s="5"/>
      <c r="N679" s="5"/>
    </row>
    <row r="680" spans="10:14">
      <c r="J680" s="5"/>
      <c r="N680" s="5"/>
    </row>
    <row r="681" spans="10:14">
      <c r="J681" s="5"/>
      <c r="N681" s="5"/>
    </row>
    <row r="682" spans="10:14">
      <c r="J682" s="5"/>
      <c r="N682" s="5"/>
    </row>
    <row r="683" spans="10:14">
      <c r="J683" s="5"/>
      <c r="N683" s="5"/>
    </row>
    <row r="684" spans="10:14">
      <c r="J684" s="5"/>
      <c r="N684" s="5"/>
    </row>
    <row r="685" spans="10:14">
      <c r="J685" s="5"/>
      <c r="N685" s="5"/>
    </row>
    <row r="686" spans="10:14">
      <c r="J686" s="5"/>
      <c r="N686" s="5"/>
    </row>
    <row r="687" spans="10:14">
      <c r="J687" s="5"/>
      <c r="N687" s="5"/>
    </row>
    <row r="688" spans="10:14">
      <c r="J688" s="5"/>
      <c r="N688" s="5"/>
    </row>
    <row r="689" spans="10:14">
      <c r="J689" s="5"/>
      <c r="N689" s="5"/>
    </row>
    <row r="690" spans="10:14">
      <c r="J690" s="5"/>
      <c r="N690" s="5"/>
    </row>
    <row r="691" spans="10:14">
      <c r="J691" s="5"/>
      <c r="N691" s="5"/>
    </row>
    <row r="692" spans="10:14">
      <c r="J692" s="5"/>
      <c r="N692" s="5"/>
    </row>
    <row r="693" spans="10:14">
      <c r="J693" s="5"/>
      <c r="N693" s="5"/>
    </row>
    <row r="694" spans="10:14">
      <c r="J694" s="5"/>
      <c r="N694" s="5"/>
    </row>
    <row r="695" spans="10:14">
      <c r="J695" s="5"/>
      <c r="N695" s="5"/>
    </row>
    <row r="696" spans="10:14">
      <c r="J696" s="5"/>
      <c r="N696" s="5"/>
    </row>
    <row r="697" spans="10:14">
      <c r="J697" s="5"/>
      <c r="N697" s="5"/>
    </row>
    <row r="698" spans="10:14">
      <c r="J698" s="5"/>
      <c r="N698" s="5"/>
    </row>
    <row r="699" spans="10:14">
      <c r="J699" s="5"/>
      <c r="N699" s="5"/>
    </row>
    <row r="700" spans="10:14">
      <c r="J700" s="5"/>
      <c r="N700" s="5"/>
    </row>
    <row r="701" spans="10:14">
      <c r="J701" s="5"/>
      <c r="N701" s="5"/>
    </row>
    <row r="702" spans="10:14">
      <c r="J702" s="5"/>
      <c r="N702" s="5"/>
    </row>
    <row r="703" spans="10:14">
      <c r="J703" s="5"/>
      <c r="N703" s="5"/>
    </row>
    <row r="704" spans="10:14">
      <c r="J704" s="5"/>
      <c r="N704" s="5"/>
    </row>
    <row r="705" spans="10:14">
      <c r="J705" s="5"/>
      <c r="N705" s="5"/>
    </row>
    <row r="706" spans="10:14">
      <c r="J706" s="5"/>
      <c r="N706" s="5"/>
    </row>
    <row r="707" spans="10:14">
      <c r="J707" s="5"/>
      <c r="N707" s="5"/>
    </row>
    <row r="708" spans="10:14">
      <c r="J708" s="5"/>
      <c r="N708" s="5"/>
    </row>
    <row r="709" spans="10:14">
      <c r="J709" s="5"/>
      <c r="N709" s="5"/>
    </row>
    <row r="710" spans="10:14">
      <c r="J710" s="5"/>
      <c r="N710" s="5"/>
    </row>
    <row r="711" spans="10:14">
      <c r="J711" s="5"/>
      <c r="N711" s="5"/>
    </row>
    <row r="712" spans="10:14">
      <c r="J712" s="5"/>
      <c r="N712" s="5"/>
    </row>
    <row r="713" spans="10:14">
      <c r="J713" s="5"/>
      <c r="N713" s="5"/>
    </row>
    <row r="714" spans="10:14">
      <c r="J714" s="5"/>
      <c r="N714" s="5"/>
    </row>
    <row r="715" spans="10:14">
      <c r="J715" s="5"/>
      <c r="N715" s="5"/>
    </row>
    <row r="716" spans="10:14">
      <c r="J716" s="5"/>
      <c r="N716" s="5"/>
    </row>
    <row r="717" spans="10:14">
      <c r="J717" s="5"/>
      <c r="N717" s="5"/>
    </row>
    <row r="718" spans="10:14">
      <c r="J718" s="5"/>
      <c r="N718" s="5"/>
    </row>
    <row r="719" spans="10:14">
      <c r="J719" s="5"/>
      <c r="N719" s="5"/>
    </row>
    <row r="720" spans="10:14">
      <c r="J720" s="5"/>
      <c r="N720" s="5"/>
    </row>
    <row r="721" spans="10:14">
      <c r="J721" s="5"/>
      <c r="N721" s="5"/>
    </row>
    <row r="722" spans="10:14">
      <c r="J722" s="5"/>
      <c r="N722" s="5"/>
    </row>
    <row r="723" spans="10:14">
      <c r="J723" s="5"/>
      <c r="N723" s="5"/>
    </row>
    <row r="724" spans="10:14">
      <c r="J724" s="5"/>
      <c r="N724" s="5"/>
    </row>
    <row r="725" spans="10:14">
      <c r="J725" s="5"/>
      <c r="N725" s="5"/>
    </row>
    <row r="726" spans="10:14">
      <c r="J726" s="5"/>
      <c r="N726" s="5"/>
    </row>
    <row r="727" spans="10:14">
      <c r="J727" s="5"/>
      <c r="N727" s="5"/>
    </row>
    <row r="728" spans="10:14">
      <c r="J728" s="5"/>
      <c r="N728" s="5"/>
    </row>
    <row r="729" spans="10:14">
      <c r="J729" s="5"/>
      <c r="N729" s="5"/>
    </row>
    <row r="730" spans="10:14">
      <c r="J730" s="5"/>
      <c r="N730" s="5"/>
    </row>
    <row r="731" spans="10:14">
      <c r="J731" s="5"/>
      <c r="N731" s="5"/>
    </row>
    <row r="732" spans="10:14">
      <c r="J732" s="5"/>
      <c r="N732" s="5"/>
    </row>
    <row r="733" spans="10:14">
      <c r="J733" s="5"/>
      <c r="N733" s="5"/>
    </row>
    <row r="734" spans="10:14">
      <c r="J734" s="5"/>
      <c r="N734" s="5"/>
    </row>
    <row r="735" spans="10:14">
      <c r="J735" s="5"/>
      <c r="N735" s="5"/>
    </row>
    <row r="736" spans="10:14">
      <c r="J736" s="5"/>
      <c r="N736" s="5"/>
    </row>
    <row r="737" spans="10:14">
      <c r="J737" s="5"/>
      <c r="N737" s="5"/>
    </row>
    <row r="738" spans="10:14">
      <c r="J738" s="5"/>
      <c r="N738" s="5"/>
    </row>
    <row r="739" spans="10:14">
      <c r="J739" s="5"/>
      <c r="N739" s="5"/>
    </row>
    <row r="740" spans="10:14">
      <c r="J740" s="5"/>
      <c r="N740" s="5"/>
    </row>
    <row r="741" spans="10:14">
      <c r="J741" s="5"/>
      <c r="N741" s="5"/>
    </row>
    <row r="742" spans="10:14">
      <c r="J742" s="5"/>
      <c r="N742" s="5"/>
    </row>
    <row r="743" spans="10:14">
      <c r="J743" s="5"/>
      <c r="N743" s="5"/>
    </row>
    <row r="744" spans="10:14">
      <c r="J744" s="5"/>
      <c r="N744" s="5"/>
    </row>
    <row r="745" spans="10:14">
      <c r="J745" s="5"/>
      <c r="N745" s="5"/>
    </row>
    <row r="746" spans="10:14">
      <c r="J746" s="5"/>
      <c r="N746" s="5"/>
    </row>
    <row r="747" spans="10:14">
      <c r="J747" s="5"/>
      <c r="N747" s="5"/>
    </row>
    <row r="748" spans="10:14">
      <c r="J748" s="5"/>
      <c r="N748" s="5"/>
    </row>
    <row r="749" spans="10:14">
      <c r="J749" s="5"/>
      <c r="N749" s="5"/>
    </row>
    <row r="750" spans="10:14">
      <c r="J750" s="5"/>
      <c r="N750" s="5"/>
    </row>
    <row r="751" spans="10:14">
      <c r="J751" s="5"/>
      <c r="N751" s="5"/>
    </row>
    <row r="752" spans="10:14">
      <c r="J752" s="5"/>
      <c r="N752" s="5"/>
    </row>
    <row r="753" spans="10:14">
      <c r="J753" s="5"/>
      <c r="N753" s="5"/>
    </row>
    <row r="754" spans="10:14">
      <c r="J754" s="5"/>
      <c r="N754" s="5"/>
    </row>
    <row r="755" spans="10:14">
      <c r="J755" s="5"/>
      <c r="N755" s="5"/>
    </row>
    <row r="756" spans="10:14">
      <c r="J756" s="5"/>
      <c r="N756" s="5"/>
    </row>
    <row r="757" spans="10:14">
      <c r="J757" s="5"/>
      <c r="N757" s="5"/>
    </row>
    <row r="758" spans="10:14">
      <c r="J758" s="5"/>
      <c r="N758" s="5"/>
    </row>
    <row r="759" spans="10:14">
      <c r="J759" s="5"/>
      <c r="N759" s="5"/>
    </row>
    <row r="760" spans="10:14">
      <c r="J760" s="5"/>
      <c r="N760" s="5"/>
    </row>
    <row r="761" spans="10:14">
      <c r="J761" s="5"/>
      <c r="N761" s="5"/>
    </row>
    <row r="762" spans="10:14">
      <c r="J762" s="5"/>
      <c r="N762" s="5"/>
    </row>
    <row r="763" spans="10:14">
      <c r="J763" s="5"/>
      <c r="N763" s="5"/>
    </row>
    <row r="764" spans="10:14">
      <c r="J764" s="5"/>
      <c r="N764" s="5"/>
    </row>
    <row r="765" spans="10:14">
      <c r="J765" s="5"/>
      <c r="N765" s="5"/>
    </row>
    <row r="766" spans="10:14">
      <c r="J766" s="5"/>
      <c r="N766" s="5"/>
    </row>
    <row r="767" spans="10:14">
      <c r="J767" s="5"/>
      <c r="N767" s="5"/>
    </row>
    <row r="768" spans="10:14">
      <c r="J768" s="5"/>
      <c r="N768" s="5"/>
    </row>
    <row r="769" spans="10:14">
      <c r="J769" s="5"/>
      <c r="N769" s="5"/>
    </row>
    <row r="770" spans="10:14">
      <c r="J770" s="5"/>
      <c r="N770" s="5"/>
    </row>
    <row r="771" spans="10:14">
      <c r="J771" s="5"/>
      <c r="N771" s="5"/>
    </row>
    <row r="772" spans="10:14">
      <c r="J772" s="5"/>
      <c r="N772" s="5"/>
    </row>
    <row r="773" spans="10:14">
      <c r="J773" s="5"/>
      <c r="N773" s="5"/>
    </row>
    <row r="774" spans="10:14">
      <c r="J774" s="5"/>
      <c r="N774" s="5"/>
    </row>
    <row r="775" spans="10:14">
      <c r="J775" s="5"/>
      <c r="N775" s="5"/>
    </row>
    <row r="776" spans="10:14">
      <c r="J776" s="5"/>
      <c r="N776" s="5"/>
    </row>
    <row r="777" spans="10:14">
      <c r="J777" s="5"/>
      <c r="N777" s="5"/>
    </row>
    <row r="778" spans="10:14">
      <c r="J778" s="5"/>
      <c r="N778" s="5"/>
    </row>
    <row r="779" spans="10:14">
      <c r="J779" s="5"/>
      <c r="N779" s="5"/>
    </row>
    <row r="780" spans="10:14">
      <c r="J780" s="5"/>
      <c r="N780" s="5"/>
    </row>
    <row r="781" spans="10:14">
      <c r="J781" s="5"/>
      <c r="N781" s="5"/>
    </row>
    <row r="782" spans="10:14">
      <c r="J782" s="5"/>
      <c r="N782" s="5"/>
    </row>
    <row r="783" spans="10:14">
      <c r="J783" s="5"/>
      <c r="N783" s="5"/>
    </row>
    <row r="784" spans="10:14">
      <c r="J784" s="5"/>
      <c r="N784" s="5"/>
    </row>
    <row r="785" spans="10:14">
      <c r="J785" s="5"/>
      <c r="N785" s="5"/>
    </row>
    <row r="786" spans="10:14">
      <c r="J786" s="5"/>
      <c r="N786" s="5"/>
    </row>
    <row r="787" spans="10:14">
      <c r="J787" s="5"/>
      <c r="N787" s="5"/>
    </row>
    <row r="788" spans="10:14">
      <c r="J788" s="5"/>
      <c r="N788" s="5"/>
    </row>
    <row r="789" spans="10:14">
      <c r="J789" s="5"/>
      <c r="N789" s="5"/>
    </row>
    <row r="790" spans="10:14">
      <c r="J790" s="5"/>
      <c r="N790" s="5"/>
    </row>
    <row r="791" spans="10:14">
      <c r="J791" s="5"/>
      <c r="N791" s="5"/>
    </row>
    <row r="792" spans="10:14">
      <c r="J792" s="5"/>
      <c r="N792" s="5"/>
    </row>
    <row r="793" spans="10:14">
      <c r="J793" s="5"/>
      <c r="N793" s="5"/>
    </row>
    <row r="794" spans="10:14">
      <c r="J794" s="5"/>
      <c r="N794" s="5"/>
    </row>
    <row r="795" spans="10:14">
      <c r="J795" s="5"/>
      <c r="N795" s="5"/>
    </row>
    <row r="796" spans="10:14">
      <c r="J796" s="5"/>
      <c r="N796" s="5"/>
    </row>
    <row r="797" spans="10:14">
      <c r="J797" s="5"/>
      <c r="N797" s="5"/>
    </row>
    <row r="798" spans="10:14">
      <c r="J798" s="5"/>
      <c r="N798" s="5"/>
    </row>
    <row r="799" spans="10:14">
      <c r="J799" s="5"/>
      <c r="N799" s="5"/>
    </row>
    <row r="800" spans="10:14">
      <c r="J800" s="5"/>
      <c r="N800" s="5"/>
    </row>
    <row r="801" spans="10:14">
      <c r="J801" s="5"/>
      <c r="N801" s="5"/>
    </row>
    <row r="802" spans="10:14">
      <c r="J802" s="5"/>
      <c r="N802" s="5"/>
    </row>
    <row r="803" spans="10:14">
      <c r="J803" s="5"/>
      <c r="N803" s="5"/>
    </row>
    <row r="804" spans="10:14">
      <c r="J804" s="5"/>
      <c r="N804" s="5"/>
    </row>
    <row r="805" spans="10:14">
      <c r="J805" s="5"/>
      <c r="N805" s="5"/>
    </row>
    <row r="806" spans="10:14">
      <c r="J806" s="5"/>
      <c r="N806" s="5"/>
    </row>
    <row r="807" spans="10:14">
      <c r="J807" s="5"/>
      <c r="N807" s="5"/>
    </row>
    <row r="808" spans="10:14">
      <c r="J808" s="5"/>
      <c r="N808" s="5"/>
    </row>
    <row r="809" spans="10:14">
      <c r="J809" s="5"/>
      <c r="N809" s="5"/>
    </row>
    <row r="810" spans="10:14">
      <c r="J810" s="5"/>
      <c r="N810" s="5"/>
    </row>
    <row r="811" spans="10:14">
      <c r="J811" s="5"/>
      <c r="N811" s="5"/>
    </row>
    <row r="812" spans="10:14">
      <c r="J812" s="5"/>
      <c r="N812" s="5"/>
    </row>
    <row r="813" spans="10:14">
      <c r="J813" s="5"/>
      <c r="N813" s="5"/>
    </row>
    <row r="814" spans="10:14">
      <c r="J814" s="5"/>
      <c r="N814" s="5"/>
    </row>
    <row r="815" spans="10:14">
      <c r="J815" s="5"/>
      <c r="N815" s="5"/>
    </row>
    <row r="816" spans="10:14">
      <c r="J816" s="5"/>
      <c r="N816" s="5"/>
    </row>
    <row r="817" spans="10:14">
      <c r="J817" s="5"/>
      <c r="N817" s="5"/>
    </row>
    <row r="818" spans="10:14">
      <c r="J818" s="5"/>
      <c r="N818" s="5"/>
    </row>
    <row r="819" spans="10:14">
      <c r="J819" s="5"/>
      <c r="N819" s="5"/>
    </row>
    <row r="820" spans="10:14">
      <c r="J820" s="5"/>
      <c r="N820" s="5"/>
    </row>
    <row r="821" spans="10:14">
      <c r="J821" s="5"/>
      <c r="N821" s="5"/>
    </row>
    <row r="822" spans="10:14">
      <c r="J822" s="5"/>
      <c r="N822" s="5"/>
    </row>
    <row r="823" spans="10:14">
      <c r="J823" s="5"/>
      <c r="N823" s="5"/>
    </row>
    <row r="824" spans="10:14">
      <c r="J824" s="5"/>
      <c r="N824" s="5"/>
    </row>
    <row r="825" spans="10:14">
      <c r="J825" s="5"/>
      <c r="N825" s="5"/>
    </row>
    <row r="826" spans="10:14">
      <c r="J826" s="5"/>
      <c r="N826" s="5"/>
    </row>
    <row r="827" spans="10:14">
      <c r="J827" s="5"/>
      <c r="N827" s="5"/>
    </row>
    <row r="828" spans="10:14">
      <c r="J828" s="5"/>
      <c r="N828" s="5"/>
    </row>
    <row r="829" spans="10:14">
      <c r="J829" s="5"/>
      <c r="N829" s="5"/>
    </row>
    <row r="830" spans="10:14">
      <c r="J830" s="5"/>
      <c r="N830" s="5"/>
    </row>
    <row r="831" spans="10:14">
      <c r="J831" s="5"/>
      <c r="N831" s="5"/>
    </row>
    <row r="832" spans="10:14">
      <c r="J832" s="5"/>
      <c r="N832" s="5"/>
    </row>
    <row r="833" spans="10:14">
      <c r="J833" s="5"/>
      <c r="N833" s="5"/>
    </row>
    <row r="834" spans="10:14">
      <c r="J834" s="5"/>
      <c r="N834" s="5"/>
    </row>
    <row r="835" spans="10:14">
      <c r="J835" s="5"/>
      <c r="N835" s="5"/>
    </row>
    <row r="836" spans="10:14">
      <c r="J836" s="5"/>
      <c r="N836" s="5"/>
    </row>
    <row r="837" spans="10:14">
      <c r="J837" s="5"/>
      <c r="N837" s="5"/>
    </row>
    <row r="838" spans="10:14">
      <c r="J838" s="5"/>
      <c r="N838" s="5"/>
    </row>
    <row r="839" spans="10:14">
      <c r="J839" s="5"/>
      <c r="N839" s="5"/>
    </row>
    <row r="840" spans="10:14">
      <c r="J840" s="5"/>
      <c r="N840" s="5"/>
    </row>
    <row r="841" spans="10:14">
      <c r="J841" s="5"/>
      <c r="N841" s="5"/>
    </row>
    <row r="842" spans="10:14">
      <c r="J842" s="5"/>
      <c r="N842" s="5"/>
    </row>
    <row r="843" spans="10:14">
      <c r="J843" s="5"/>
      <c r="N843" s="5"/>
    </row>
    <row r="844" spans="10:14">
      <c r="J844" s="5"/>
      <c r="N844" s="5"/>
    </row>
    <row r="845" spans="10:14">
      <c r="J845" s="5"/>
      <c r="N845" s="5"/>
    </row>
    <row r="846" spans="10:14">
      <c r="J846" s="5"/>
      <c r="N846" s="5"/>
    </row>
    <row r="847" spans="10:14">
      <c r="J847" s="5"/>
      <c r="N847" s="5"/>
    </row>
    <row r="848" spans="10:14">
      <c r="J848" s="5"/>
      <c r="N848" s="5"/>
    </row>
    <row r="849" spans="10:14">
      <c r="J849" s="5"/>
      <c r="N849" s="5"/>
    </row>
    <row r="850" spans="10:14">
      <c r="J850" s="5"/>
      <c r="N850" s="5"/>
    </row>
    <row r="851" spans="10:14">
      <c r="J851" s="5"/>
      <c r="N851" s="5"/>
    </row>
    <row r="852" spans="10:14">
      <c r="J852" s="5"/>
      <c r="N852" s="5"/>
    </row>
    <row r="853" spans="10:14">
      <c r="J853" s="5"/>
      <c r="N853" s="5"/>
    </row>
    <row r="854" spans="10:14">
      <c r="J854" s="5"/>
      <c r="N854" s="5"/>
    </row>
    <row r="855" spans="10:14">
      <c r="J855" s="5"/>
      <c r="N855" s="5"/>
    </row>
    <row r="856" spans="10:14">
      <c r="J856" s="5"/>
      <c r="N856" s="5"/>
    </row>
    <row r="857" spans="10:14">
      <c r="J857" s="5"/>
      <c r="N857" s="5"/>
    </row>
    <row r="858" spans="10:14">
      <c r="J858" s="5"/>
      <c r="N858" s="5"/>
    </row>
    <row r="859" spans="10:14">
      <c r="J859" s="5"/>
      <c r="N859" s="5"/>
    </row>
    <row r="860" spans="10:14">
      <c r="J860" s="5"/>
      <c r="N860" s="5"/>
    </row>
    <row r="861" spans="10:14">
      <c r="J861" s="5"/>
      <c r="N861" s="5"/>
    </row>
    <row r="862" spans="10:14">
      <c r="J862" s="5"/>
      <c r="N862" s="5"/>
    </row>
    <row r="863" spans="10:14">
      <c r="J863" s="5"/>
      <c r="N863" s="5"/>
    </row>
    <row r="864" spans="10:14">
      <c r="J864" s="5"/>
      <c r="N864" s="5"/>
    </row>
    <row r="865" spans="10:14">
      <c r="J865" s="5"/>
      <c r="N865" s="5"/>
    </row>
    <row r="866" spans="10:14">
      <c r="J866" s="5"/>
      <c r="N866" s="5"/>
    </row>
    <row r="867" spans="10:14">
      <c r="J867" s="5"/>
      <c r="N867" s="5"/>
    </row>
    <row r="868" spans="10:14">
      <c r="J868" s="5"/>
      <c r="N868" s="5"/>
    </row>
    <row r="869" spans="10:14">
      <c r="J869" s="5"/>
      <c r="N869" s="5"/>
    </row>
    <row r="870" spans="10:14">
      <c r="J870" s="5"/>
      <c r="N870" s="5"/>
    </row>
    <row r="871" spans="10:14">
      <c r="J871" s="5"/>
      <c r="N871" s="5"/>
    </row>
    <row r="872" spans="10:14">
      <c r="J872" s="5"/>
      <c r="N872" s="5"/>
    </row>
    <row r="873" spans="10:14">
      <c r="J873" s="5"/>
      <c r="N873" s="5"/>
    </row>
    <row r="874" spans="10:14">
      <c r="J874" s="5"/>
      <c r="N874" s="5"/>
    </row>
    <row r="875" spans="10:14">
      <c r="J875" s="5"/>
      <c r="N875" s="5"/>
    </row>
    <row r="876" spans="10:14">
      <c r="J876" s="5"/>
      <c r="N876" s="5"/>
    </row>
    <row r="877" spans="10:14">
      <c r="J877" s="5"/>
      <c r="N877" s="5"/>
    </row>
    <row r="878" spans="10:14">
      <c r="J878" s="5"/>
      <c r="N878" s="5"/>
    </row>
    <row r="879" spans="10:14">
      <c r="J879" s="5"/>
      <c r="N879" s="5"/>
    </row>
    <row r="880" spans="10:14">
      <c r="J880" s="5"/>
      <c r="N880" s="5"/>
    </row>
    <row r="881" spans="10:14">
      <c r="J881" s="5"/>
      <c r="N881" s="5"/>
    </row>
    <row r="882" spans="10:14">
      <c r="J882" s="5"/>
      <c r="N882" s="5"/>
    </row>
    <row r="883" spans="10:14">
      <c r="J883" s="5"/>
      <c r="N883" s="5"/>
    </row>
    <row r="884" spans="10:14">
      <c r="J884" s="5"/>
      <c r="N884" s="5"/>
    </row>
    <row r="885" spans="10:14">
      <c r="J885" s="5"/>
      <c r="N885" s="5"/>
    </row>
    <row r="886" spans="10:14">
      <c r="J886" s="5"/>
      <c r="N886" s="5"/>
    </row>
    <row r="887" spans="10:14">
      <c r="J887" s="5"/>
      <c r="N887" s="5"/>
    </row>
    <row r="888" spans="10:14">
      <c r="J888" s="5"/>
      <c r="N888" s="5"/>
    </row>
    <row r="889" spans="10:14">
      <c r="J889" s="5"/>
      <c r="N889" s="5"/>
    </row>
    <row r="890" spans="10:14">
      <c r="J890" s="5"/>
      <c r="N890" s="5"/>
    </row>
    <row r="891" spans="10:14">
      <c r="J891" s="5"/>
      <c r="N891" s="5"/>
    </row>
    <row r="892" spans="10:14">
      <c r="J892" s="5"/>
      <c r="N892" s="5"/>
    </row>
    <row r="893" spans="10:14">
      <c r="J893" s="5"/>
      <c r="N893" s="5"/>
    </row>
    <row r="894" spans="10:14">
      <c r="J894" s="5"/>
      <c r="N894" s="5"/>
    </row>
    <row r="895" spans="10:14">
      <c r="J895" s="5"/>
      <c r="N895" s="5"/>
    </row>
    <row r="896" spans="10:14">
      <c r="J896" s="5"/>
      <c r="N896" s="5"/>
    </row>
    <row r="897" spans="10:14">
      <c r="J897" s="5"/>
      <c r="N897" s="5"/>
    </row>
    <row r="898" spans="10:14">
      <c r="J898" s="5"/>
      <c r="N898" s="5"/>
    </row>
    <row r="899" spans="10:14">
      <c r="J899" s="5"/>
      <c r="N899" s="5"/>
    </row>
    <row r="900" spans="10:14">
      <c r="J900" s="5"/>
      <c r="N900" s="5"/>
    </row>
    <row r="901" spans="10:14">
      <c r="J901" s="5"/>
      <c r="N901" s="5"/>
    </row>
    <row r="902" spans="10:14">
      <c r="J902" s="5"/>
      <c r="N902" s="5"/>
    </row>
    <row r="903" spans="10:14">
      <c r="J903" s="5"/>
      <c r="N903" s="5"/>
    </row>
    <row r="904" spans="10:14">
      <c r="J904" s="5"/>
      <c r="N904" s="5"/>
    </row>
    <row r="905" spans="10:14">
      <c r="J905" s="5"/>
      <c r="N905" s="5"/>
    </row>
    <row r="906" spans="10:14">
      <c r="J906" s="5"/>
      <c r="N906" s="5"/>
    </row>
    <row r="907" spans="10:14">
      <c r="J907" s="5"/>
      <c r="N907" s="5"/>
    </row>
    <row r="908" spans="10:14">
      <c r="J908" s="5"/>
      <c r="N908" s="5"/>
    </row>
    <row r="909" spans="10:14">
      <c r="J909" s="5"/>
      <c r="N909" s="5"/>
    </row>
    <row r="910" spans="10:14">
      <c r="J910" s="5"/>
      <c r="N910" s="5"/>
    </row>
    <row r="911" spans="10:14">
      <c r="J911" s="5"/>
      <c r="N911" s="5"/>
    </row>
    <row r="912" spans="10:14">
      <c r="J912" s="5"/>
      <c r="N912" s="5"/>
    </row>
    <row r="913" spans="10:14">
      <c r="J913" s="5"/>
      <c r="N913" s="5"/>
    </row>
    <row r="914" spans="10:14">
      <c r="J914" s="5"/>
      <c r="N914" s="5"/>
    </row>
    <row r="915" spans="10:14">
      <c r="J915" s="5"/>
      <c r="N915" s="5"/>
    </row>
    <row r="916" spans="10:14">
      <c r="J916" s="5"/>
      <c r="N916" s="5"/>
    </row>
    <row r="917" spans="10:14">
      <c r="J917" s="5"/>
      <c r="N917" s="5"/>
    </row>
    <row r="918" spans="10:14">
      <c r="J918" s="5"/>
      <c r="N918" s="5"/>
    </row>
    <row r="919" spans="10:14">
      <c r="J919" s="5"/>
      <c r="N919" s="5"/>
    </row>
    <row r="920" spans="10:14">
      <c r="J920" s="5"/>
      <c r="N920" s="5"/>
    </row>
    <row r="921" spans="10:14">
      <c r="J921" s="5"/>
      <c r="N921" s="5"/>
    </row>
    <row r="922" spans="10:14">
      <c r="J922" s="5"/>
      <c r="N922" s="5"/>
    </row>
    <row r="923" spans="10:14">
      <c r="J923" s="5"/>
      <c r="N923" s="5"/>
    </row>
    <row r="924" spans="10:14">
      <c r="J924" s="5"/>
      <c r="N924" s="5"/>
    </row>
    <row r="925" spans="10:14">
      <c r="J925" s="5"/>
      <c r="N925" s="5"/>
    </row>
    <row r="926" spans="10:14">
      <c r="J926" s="5"/>
      <c r="N926" s="5"/>
    </row>
    <row r="927" spans="10:14">
      <c r="J927" s="5"/>
      <c r="N927" s="5"/>
    </row>
    <row r="928" spans="10:14">
      <c r="J928" s="5"/>
      <c r="N928" s="5"/>
    </row>
    <row r="929" spans="10:14">
      <c r="J929" s="5"/>
      <c r="N929" s="5"/>
    </row>
    <row r="930" spans="10:14">
      <c r="J930" s="5"/>
      <c r="N930" s="5"/>
    </row>
    <row r="931" spans="10:14">
      <c r="J931" s="5"/>
      <c r="N931" s="5"/>
    </row>
    <row r="932" spans="10:14">
      <c r="J932" s="5"/>
      <c r="N932" s="5"/>
    </row>
    <row r="933" spans="10:14">
      <c r="J933" s="5"/>
      <c r="N933" s="5"/>
    </row>
    <row r="934" spans="10:14">
      <c r="J934" s="5"/>
      <c r="N934" s="5"/>
    </row>
    <row r="935" spans="10:14">
      <c r="J935" s="5"/>
      <c r="N935" s="5"/>
    </row>
    <row r="936" spans="10:14">
      <c r="J936" s="5"/>
      <c r="N936" s="5"/>
    </row>
    <row r="937" spans="10:14">
      <c r="J937" s="5"/>
      <c r="N937" s="5"/>
    </row>
    <row r="938" spans="10:14">
      <c r="J938" s="5"/>
      <c r="N938" s="5"/>
    </row>
    <row r="939" spans="10:14">
      <c r="J939" s="5"/>
      <c r="N939" s="5"/>
    </row>
    <row r="940" spans="10:14">
      <c r="J940" s="5"/>
      <c r="N940" s="5"/>
    </row>
    <row r="941" spans="10:14">
      <c r="J941" s="5"/>
      <c r="N941" s="5"/>
    </row>
    <row r="942" spans="10:14">
      <c r="J942" s="5"/>
      <c r="N942" s="5"/>
    </row>
    <row r="943" spans="10:14">
      <c r="J943" s="5"/>
      <c r="N943" s="5"/>
    </row>
    <row r="944" spans="10:14">
      <c r="J944" s="5"/>
      <c r="N944" s="5"/>
    </row>
    <row r="945" spans="10:14">
      <c r="J945" s="5"/>
      <c r="N945" s="5"/>
    </row>
    <row r="946" spans="10:14">
      <c r="J946" s="5"/>
      <c r="N946" s="5"/>
    </row>
    <row r="947" spans="10:14">
      <c r="J947" s="5"/>
      <c r="N947" s="5"/>
    </row>
    <row r="948" spans="10:14">
      <c r="J948" s="5"/>
      <c r="N948" s="5"/>
    </row>
    <row r="949" spans="10:14">
      <c r="J949" s="5"/>
      <c r="N949" s="5"/>
    </row>
    <row r="950" spans="10:14">
      <c r="J950" s="5"/>
      <c r="N950" s="5"/>
    </row>
    <row r="951" spans="10:14">
      <c r="J951" s="5"/>
      <c r="N951" s="5"/>
    </row>
    <row r="952" spans="10:14">
      <c r="J952" s="5"/>
      <c r="N952" s="5"/>
    </row>
    <row r="953" spans="10:14">
      <c r="J953" s="5"/>
      <c r="N953" s="5"/>
    </row>
    <row r="954" spans="10:14">
      <c r="J954" s="5"/>
      <c r="N954" s="5"/>
    </row>
    <row r="955" spans="10:14">
      <c r="J955" s="5"/>
      <c r="N955" s="5"/>
    </row>
    <row r="956" spans="10:14">
      <c r="J956" s="5"/>
      <c r="N956" s="5"/>
    </row>
    <row r="957" spans="10:14">
      <c r="J957" s="5"/>
      <c r="N957" s="5"/>
    </row>
    <row r="958" spans="10:14">
      <c r="J958" s="5"/>
      <c r="N958" s="5"/>
    </row>
    <row r="959" spans="10:14">
      <c r="J959" s="5"/>
      <c r="N959" s="5"/>
    </row>
    <row r="960" spans="10:14">
      <c r="J960" s="5"/>
      <c r="N960" s="5"/>
    </row>
    <row r="961" spans="10:14">
      <c r="J961" s="5"/>
      <c r="N961" s="5"/>
    </row>
    <row r="962" spans="10:14">
      <c r="J962" s="5"/>
      <c r="N962" s="5"/>
    </row>
    <row r="963" spans="10:14">
      <c r="J963" s="5"/>
      <c r="N963" s="5"/>
    </row>
    <row r="964" spans="10:14">
      <c r="J964" s="5"/>
      <c r="N964" s="5"/>
    </row>
    <row r="965" spans="10:14">
      <c r="J965" s="5"/>
      <c r="N965" s="5"/>
    </row>
    <row r="966" spans="10:14">
      <c r="J966" s="5"/>
      <c r="N966" s="5"/>
    </row>
    <row r="967" spans="10:14">
      <c r="J967" s="5"/>
      <c r="N967" s="5"/>
    </row>
    <row r="968" spans="10:14">
      <c r="J968" s="5"/>
      <c r="N968" s="5"/>
    </row>
    <row r="969" spans="10:14">
      <c r="J969" s="5"/>
      <c r="N969" s="5"/>
    </row>
    <row r="970" spans="10:14">
      <c r="J970" s="5"/>
      <c r="N970" s="5"/>
    </row>
    <row r="971" spans="10:14">
      <c r="J971" s="5"/>
      <c r="N971" s="5"/>
    </row>
    <row r="972" spans="10:14">
      <c r="J972" s="5"/>
      <c r="N972" s="5"/>
    </row>
    <row r="973" spans="10:14">
      <c r="J973" s="5"/>
      <c r="N973" s="5"/>
    </row>
    <row r="974" spans="10:14">
      <c r="J974" s="5"/>
      <c r="N974" s="5"/>
    </row>
    <row r="975" spans="10:14">
      <c r="J975" s="5"/>
      <c r="N975" s="5"/>
    </row>
    <row r="976" spans="10:14">
      <c r="J976" s="5"/>
      <c r="N976" s="5"/>
    </row>
    <row r="977" spans="10:14">
      <c r="J977" s="5"/>
      <c r="N977" s="5"/>
    </row>
    <row r="978" spans="10:14">
      <c r="J978" s="5"/>
      <c r="N978" s="5"/>
    </row>
    <row r="979" spans="10:14">
      <c r="J979" s="5"/>
      <c r="N979" s="5"/>
    </row>
    <row r="980" spans="10:14">
      <c r="J980" s="5"/>
      <c r="N980" s="5"/>
    </row>
    <row r="981" spans="10:14">
      <c r="J981" s="5"/>
      <c r="N981" s="5"/>
    </row>
    <row r="982" spans="10:14">
      <c r="J982" s="5"/>
      <c r="N982" s="5"/>
    </row>
    <row r="983" spans="10:14">
      <c r="J983" s="5"/>
      <c r="N983" s="5"/>
    </row>
    <row r="984" spans="10:14">
      <c r="J984" s="5"/>
      <c r="N984" s="5"/>
    </row>
    <row r="985" spans="10:14">
      <c r="J985" s="5"/>
      <c r="N985" s="5"/>
    </row>
    <row r="986" spans="10:14">
      <c r="J986" s="5"/>
      <c r="N986" s="5"/>
    </row>
    <row r="987" spans="10:14">
      <c r="J987" s="5"/>
      <c r="N987" s="5"/>
    </row>
    <row r="988" spans="10:14">
      <c r="J988" s="5"/>
      <c r="N988" s="5"/>
    </row>
    <row r="989" spans="10:14">
      <c r="J989" s="5"/>
      <c r="N989" s="5"/>
    </row>
    <row r="990" spans="10:14">
      <c r="J990" s="5"/>
      <c r="N990" s="5"/>
    </row>
    <row r="991" spans="10:14">
      <c r="J991" s="5"/>
      <c r="N991" s="5"/>
    </row>
    <row r="992" spans="10:14">
      <c r="J992" s="5"/>
      <c r="N992" s="5"/>
    </row>
    <row r="993" spans="10:14">
      <c r="J993" s="5"/>
      <c r="N993" s="5"/>
    </row>
    <row r="994" spans="10:14">
      <c r="J994" s="5"/>
      <c r="N994" s="5"/>
    </row>
    <row r="995" spans="10:14">
      <c r="J995" s="5"/>
      <c r="N995" s="5"/>
    </row>
    <row r="996" spans="10:14">
      <c r="J996" s="5"/>
      <c r="N996" s="5"/>
    </row>
    <row r="997" spans="10:14">
      <c r="J997" s="5"/>
      <c r="N997" s="5"/>
    </row>
    <row r="998" spans="10:14">
      <c r="J998" s="5"/>
      <c r="N998" s="5"/>
    </row>
    <row r="999" spans="10:14">
      <c r="J999" s="5"/>
      <c r="N999" s="5"/>
    </row>
    <row r="1000" spans="10:14">
      <c r="J1000" s="5"/>
      <c r="N1000" s="5"/>
    </row>
    <row r="1001" spans="10:14">
      <c r="J1001" s="5"/>
      <c r="N1001" s="5"/>
    </row>
    <row r="1002" spans="10:14">
      <c r="J1002" s="5"/>
      <c r="N1002" s="5"/>
    </row>
    <row r="1003" spans="10:14">
      <c r="J1003" s="5"/>
      <c r="N1003" s="5"/>
    </row>
    <row r="1004" spans="10:14">
      <c r="J1004" s="5"/>
      <c r="N1004" s="5"/>
    </row>
    <row r="1005" spans="10:14">
      <c r="J1005" s="5"/>
      <c r="N1005" s="5"/>
    </row>
    <row r="1006" spans="10:14">
      <c r="J1006" s="5"/>
      <c r="N1006" s="5"/>
    </row>
    <row r="1007" spans="10:14">
      <c r="J1007" s="5"/>
      <c r="N1007" s="5"/>
    </row>
    <row r="1008" spans="10:14">
      <c r="J1008" s="5"/>
      <c r="N1008" s="5"/>
    </row>
    <row r="1009" spans="10:14">
      <c r="J1009" s="5"/>
      <c r="N1009" s="5"/>
    </row>
    <row r="1010" spans="10:14">
      <c r="J1010" s="5"/>
      <c r="N1010" s="5"/>
    </row>
    <row r="1011" spans="10:14">
      <c r="J1011" s="5"/>
      <c r="N1011" s="5"/>
    </row>
    <row r="1012" spans="10:14">
      <c r="J1012" s="5"/>
      <c r="N1012" s="5"/>
    </row>
    <row r="1013" spans="10:14">
      <c r="J1013" s="5"/>
      <c r="N1013" s="5"/>
    </row>
    <row r="1014" spans="10:14">
      <c r="J1014" s="5"/>
      <c r="N1014" s="5"/>
    </row>
    <row r="1015" spans="10:14">
      <c r="J1015" s="5"/>
      <c r="N1015" s="5"/>
    </row>
    <row r="1016" spans="10:14">
      <c r="J1016" s="5"/>
      <c r="N1016" s="5"/>
    </row>
    <row r="1017" spans="10:14">
      <c r="J1017" s="5"/>
      <c r="N1017" s="5"/>
    </row>
    <row r="1018" spans="10:14">
      <c r="J1018" s="5"/>
      <c r="N1018" s="5"/>
    </row>
    <row r="1019" spans="10:14">
      <c r="J1019" s="5"/>
      <c r="N1019" s="5"/>
    </row>
  </sheetData>
  <hyperlinks>
    <hyperlink ref="A6" r:id="rId1" xr:uid="{00000000-0004-0000-0000-000000000000}"/>
    <hyperlink ref="A7" r:id="rId2" xr:uid="{00000000-0004-0000-0000-000001000000}"/>
    <hyperlink ref="A8" r:id="rId3" xr:uid="{00000000-0004-0000-0000-000002000000}"/>
    <hyperlink ref="A9" r:id="rId4" xr:uid="{00000000-0004-0000-0000-000003000000}"/>
    <hyperlink ref="A10" r:id="rId5" xr:uid="{00000000-0004-0000-0000-000004000000}"/>
    <hyperlink ref="A11" r:id="rId6" location="fig1" xr:uid="{00000000-0004-0000-0000-000005000000}"/>
    <hyperlink ref="A12" r:id="rId7" xr:uid="{00000000-0004-0000-0000-000006000000}"/>
    <hyperlink ref="A13" r:id="rId8" xr:uid="{00000000-0004-0000-0000-000007000000}"/>
    <hyperlink ref="A14" r:id="rId9" location="mmc1" xr:uid="{00000000-0004-0000-0000-000008000000}"/>
    <hyperlink ref="A15" r:id="rId10" xr:uid="{00000000-0004-0000-0000-000009000000}"/>
    <hyperlink ref="A16" r:id="rId11" location="content" xr:uid="{00000000-0004-0000-0000-00000A000000}"/>
    <hyperlink ref="A17" r:id="rId12" xr:uid="{00000000-0004-0000-0000-00000B000000}"/>
    <hyperlink ref="A18" r:id="rId13" xr:uid="{00000000-0004-0000-0000-00000C000000}"/>
    <hyperlink ref="A19" r:id="rId14" xr:uid="{00000000-0004-0000-0000-00000D000000}"/>
    <hyperlink ref="A20" r:id="rId15" xr:uid="{00000000-0004-0000-0000-00000E000000}"/>
    <hyperlink ref="A21" r:id="rId16" location="Abs2" xr:uid="{00000000-0004-0000-0000-00000F000000}"/>
    <hyperlink ref="A22" r:id="rId17" location="Sec3" xr:uid="{00000000-0004-0000-0000-000010000000}"/>
    <hyperlink ref="A23" r:id="rId18" location="abs0015" xr:uid="{00000000-0004-0000-0000-000011000000}"/>
    <hyperlink ref="A24" r:id="rId19" location="Fig7" xr:uid="{00000000-0004-0000-0000-000012000000}"/>
    <hyperlink ref="A25" r:id="rId20" location="mmc1" xr:uid="{00000000-0004-0000-0000-000013000000}"/>
    <hyperlink ref="A26" r:id="rId21" xr:uid="{00000000-0004-0000-0000-000014000000}"/>
    <hyperlink ref="A27" r:id="rId22" location="content" xr:uid="{00000000-0004-0000-0000-000015000000}"/>
    <hyperlink ref="A28" r:id="rId23" xr:uid="{00000000-0004-0000-0000-000016000000}"/>
    <hyperlink ref="A29" r:id="rId24" location="Abs1" xr:uid="{00000000-0004-0000-0000-000017000000}"/>
    <hyperlink ref="A30" r:id="rId25" xr:uid="{00000000-0004-0000-0000-000018000000}"/>
    <hyperlink ref="A31" r:id="rId26" location="abs0020" xr:uid="{00000000-0004-0000-0000-000019000000}"/>
    <hyperlink ref="A32" r:id="rId27" xr:uid="{00000000-0004-0000-0000-00001A000000}"/>
    <hyperlink ref="A33" r:id="rId28" location="abs0020" xr:uid="{00000000-0004-0000-0000-00001B000000}"/>
    <hyperlink ref="A34" r:id="rId29" xr:uid="{00000000-0004-0000-0000-00001C000000}"/>
    <hyperlink ref="A35" r:id="rId30" xr:uid="{00000000-0004-0000-0000-00001D000000}"/>
    <hyperlink ref="A36" r:id="rId31" location="Abs1" xr:uid="{00000000-0004-0000-0000-00001E000000}"/>
    <hyperlink ref="A37" r:id="rId32" xr:uid="{00000000-0004-0000-0000-00001F000000}"/>
    <hyperlink ref="A38" r:id="rId33" location="fig1" xr:uid="{00000000-0004-0000-0000-000020000000}"/>
    <hyperlink ref="A39" r:id="rId34" xr:uid="{00000000-0004-0000-0000-000021000000}"/>
    <hyperlink ref="A40" r:id="rId35" xr:uid="{00000000-0004-0000-0000-000022000000}"/>
    <hyperlink ref="A41" r:id="rId36" xr:uid="{00000000-0004-0000-0000-000023000000}"/>
    <hyperlink ref="A42" r:id="rId37" xr:uid="{00000000-0004-0000-0000-000024000000}"/>
    <hyperlink ref="A3" r:id="rId38" xr:uid="{2B1EE354-6DC3-4AC4-870F-A706E7E3B9FE}"/>
    <hyperlink ref="A2" r:id="rId39" xr:uid="{74B5A2D1-2775-4780-BB24-49E14373889C}"/>
    <hyperlink ref="A5" r:id="rId40" xr:uid="{0AC6E041-0D8B-4C6F-8CDC-D73F565508B1}"/>
    <hyperlink ref="A4" r:id="rId41" display="https://elifesciences.org/articles/17421" xr:uid="{B80E876E-7C64-4CA6-9D7E-EEA4720F7C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10"/>
  <sheetViews>
    <sheetView workbookViewId="0">
      <pane ySplit="1" topLeftCell="A34" activePane="bottomLeft" state="frozen"/>
      <selection activeCell="G30" sqref="G30"/>
      <selection pane="bottomLeft" activeCell="A65" sqref="A65"/>
    </sheetView>
  </sheetViews>
  <sheetFormatPr defaultColWidth="12.6640625" defaultRowHeight="15.75" customHeight="1"/>
  <cols>
    <col min="2" max="2" width="13.6640625" customWidth="1"/>
  </cols>
  <sheetData>
    <row r="1" spans="1:4" ht="13.2">
      <c r="A1" s="9" t="s">
        <v>2</v>
      </c>
      <c r="B1" s="9" t="s">
        <v>225</v>
      </c>
      <c r="C1" s="9" t="s">
        <v>1</v>
      </c>
      <c r="D1" s="1"/>
    </row>
    <row r="2" spans="1:4" ht="15.75" customHeight="1">
      <c r="A2" t="s">
        <v>380</v>
      </c>
      <c r="C2" t="s">
        <v>383</v>
      </c>
    </row>
    <row r="3" spans="1:4" ht="15.75" customHeight="1">
      <c r="A3" t="s">
        <v>375</v>
      </c>
      <c r="C3" s="16" t="s">
        <v>382</v>
      </c>
    </row>
    <row r="4" spans="1:4" ht="15.75" customHeight="1">
      <c r="A4" t="s">
        <v>376</v>
      </c>
      <c r="C4" t="s">
        <v>382</v>
      </c>
    </row>
    <row r="5" spans="1:4" ht="13.2">
      <c r="A5" t="s">
        <v>393</v>
      </c>
      <c r="C5" s="16" t="s">
        <v>424</v>
      </c>
    </row>
    <row r="6" spans="1:4" ht="13.2">
      <c r="A6" t="s">
        <v>394</v>
      </c>
      <c r="C6" s="16" t="s">
        <v>424</v>
      </c>
    </row>
    <row r="7" spans="1:4" ht="13.2">
      <c r="A7" t="s">
        <v>395</v>
      </c>
      <c r="C7" s="16" t="s">
        <v>424</v>
      </c>
    </row>
    <row r="8" spans="1:4" ht="13.2">
      <c r="A8" t="s">
        <v>370</v>
      </c>
      <c r="C8" t="s">
        <v>381</v>
      </c>
    </row>
    <row r="9" spans="1:4" ht="13.2">
      <c r="A9" t="s">
        <v>396</v>
      </c>
      <c r="C9" s="16" t="s">
        <v>424</v>
      </c>
    </row>
    <row r="10" spans="1:4" ht="13.2">
      <c r="A10" t="s">
        <v>371</v>
      </c>
      <c r="C10" t="s">
        <v>381</v>
      </c>
    </row>
    <row r="11" spans="1:4" ht="13.2">
      <c r="A11" t="s">
        <v>369</v>
      </c>
      <c r="C11" t="s">
        <v>381</v>
      </c>
    </row>
    <row r="12" spans="1:4" ht="13.2">
      <c r="A12" t="s">
        <v>372</v>
      </c>
      <c r="C12" t="s">
        <v>381</v>
      </c>
    </row>
    <row r="13" spans="1:4" ht="13.2">
      <c r="A13" t="s">
        <v>397</v>
      </c>
      <c r="C13" s="16" t="s">
        <v>424</v>
      </c>
    </row>
    <row r="14" spans="1:4" ht="13.2">
      <c r="A14" t="s">
        <v>398</v>
      </c>
      <c r="C14" s="16" t="s">
        <v>424</v>
      </c>
    </row>
    <row r="15" spans="1:4" ht="13.2">
      <c r="A15" t="s">
        <v>399</v>
      </c>
      <c r="C15" s="16" t="s">
        <v>424</v>
      </c>
    </row>
    <row r="16" spans="1:4" ht="13.2">
      <c r="A16" t="s">
        <v>400</v>
      </c>
      <c r="C16" s="16" t="s">
        <v>424</v>
      </c>
    </row>
    <row r="17" spans="1:3" ht="13.2">
      <c r="A17" t="s">
        <v>401</v>
      </c>
      <c r="C17" s="16" t="s">
        <v>424</v>
      </c>
    </row>
    <row r="18" spans="1:3" ht="13.2">
      <c r="A18" t="s">
        <v>402</v>
      </c>
      <c r="C18" s="16" t="s">
        <v>424</v>
      </c>
    </row>
    <row r="19" spans="1:3" ht="13.2">
      <c r="A19" t="s">
        <v>403</v>
      </c>
      <c r="C19" s="16" t="s">
        <v>424</v>
      </c>
    </row>
    <row r="20" spans="1:3" ht="13.2">
      <c r="A20" t="s">
        <v>404</v>
      </c>
      <c r="C20" s="16" t="s">
        <v>424</v>
      </c>
    </row>
    <row r="21" spans="1:3" ht="13.2">
      <c r="A21" t="s">
        <v>405</v>
      </c>
      <c r="C21" s="16" t="s">
        <v>424</v>
      </c>
    </row>
    <row r="22" spans="1:3" ht="13.2">
      <c r="A22" t="s">
        <v>406</v>
      </c>
      <c r="C22" s="16" t="s">
        <v>424</v>
      </c>
    </row>
    <row r="23" spans="1:3" ht="13.2">
      <c r="A23" t="s">
        <v>373</v>
      </c>
      <c r="C23" t="s">
        <v>381</v>
      </c>
    </row>
    <row r="24" spans="1:3" ht="13.2">
      <c r="A24" t="s">
        <v>377</v>
      </c>
      <c r="C24" t="s">
        <v>382</v>
      </c>
    </row>
    <row r="25" spans="1:3" ht="13.2">
      <c r="A25" t="s">
        <v>407</v>
      </c>
      <c r="C25" s="16" t="s">
        <v>424</v>
      </c>
    </row>
    <row r="26" spans="1:3" ht="13.2">
      <c r="A26" t="s">
        <v>408</v>
      </c>
      <c r="C26" s="16" t="s">
        <v>424</v>
      </c>
    </row>
    <row r="27" spans="1:3" ht="13.2">
      <c r="A27" t="s">
        <v>409</v>
      </c>
      <c r="C27" s="16" t="s">
        <v>424</v>
      </c>
    </row>
    <row r="28" spans="1:3" ht="13.2">
      <c r="A28" t="s">
        <v>410</v>
      </c>
      <c r="C28" s="16" t="s">
        <v>424</v>
      </c>
    </row>
    <row r="29" spans="1:3" ht="13.2">
      <c r="A29" t="s">
        <v>411</v>
      </c>
      <c r="C29" s="16" t="s">
        <v>424</v>
      </c>
    </row>
    <row r="30" spans="1:3" ht="13.2">
      <c r="A30" t="s">
        <v>412</v>
      </c>
      <c r="C30" s="16" t="s">
        <v>424</v>
      </c>
    </row>
    <row r="31" spans="1:3" ht="13.2">
      <c r="A31" t="s">
        <v>379</v>
      </c>
      <c r="C31" s="16" t="s">
        <v>383</v>
      </c>
    </row>
    <row r="32" spans="1:3" ht="13.2">
      <c r="A32" t="s">
        <v>413</v>
      </c>
      <c r="C32" s="16" t="s">
        <v>424</v>
      </c>
    </row>
    <row r="33" spans="1:3" ht="13.2">
      <c r="A33" t="s">
        <v>414</v>
      </c>
      <c r="C33" s="16" t="s">
        <v>424</v>
      </c>
    </row>
    <row r="34" spans="1:3" ht="13.2">
      <c r="A34" t="s">
        <v>415</v>
      </c>
      <c r="C34" s="16" t="s">
        <v>424</v>
      </c>
    </row>
    <row r="35" spans="1:3" ht="13.2">
      <c r="A35" t="s">
        <v>416</v>
      </c>
      <c r="C35" s="16" t="s">
        <v>424</v>
      </c>
    </row>
    <row r="36" spans="1:3" ht="13.2">
      <c r="A36" t="s">
        <v>417</v>
      </c>
      <c r="C36" s="16" t="s">
        <v>424</v>
      </c>
    </row>
    <row r="37" spans="1:3" ht="13.2">
      <c r="A37" t="s">
        <v>418</v>
      </c>
      <c r="C37" s="16" t="s">
        <v>424</v>
      </c>
    </row>
    <row r="38" spans="1:3" ht="13.2">
      <c r="A38" t="s">
        <v>368</v>
      </c>
      <c r="C38" t="s">
        <v>381</v>
      </c>
    </row>
    <row r="39" spans="1:3" ht="13.2">
      <c r="A39" t="s">
        <v>378</v>
      </c>
      <c r="C39" t="s">
        <v>382</v>
      </c>
    </row>
    <row r="40" spans="1:3" ht="13.2">
      <c r="A40" t="s">
        <v>419</v>
      </c>
      <c r="C40" s="16" t="s">
        <v>424</v>
      </c>
    </row>
    <row r="41" spans="1:3" ht="13.2">
      <c r="A41" t="s">
        <v>420</v>
      </c>
      <c r="C41" s="16" t="s">
        <v>424</v>
      </c>
    </row>
    <row r="42" spans="1:3" ht="13.2">
      <c r="A42" t="s">
        <v>367</v>
      </c>
      <c r="C42" t="s">
        <v>381</v>
      </c>
    </row>
    <row r="43" spans="1:3" ht="13.2">
      <c r="A43" t="s">
        <v>421</v>
      </c>
      <c r="C43" s="16" t="s">
        <v>424</v>
      </c>
    </row>
    <row r="44" spans="1:3" ht="13.2">
      <c r="A44" t="s">
        <v>422</v>
      </c>
      <c r="C44" s="16" t="s">
        <v>424</v>
      </c>
    </row>
    <row r="45" spans="1:3" ht="13.2">
      <c r="A45" t="s">
        <v>366</v>
      </c>
      <c r="C45" t="s">
        <v>381</v>
      </c>
    </row>
    <row r="46" spans="1:3" ht="13.2">
      <c r="A46" t="s">
        <v>374</v>
      </c>
      <c r="C46" s="16" t="s">
        <v>382</v>
      </c>
    </row>
    <row r="47" spans="1:3" ht="13.2">
      <c r="A47" s="10" t="s">
        <v>226</v>
      </c>
      <c r="B47" s="10"/>
      <c r="C47" s="10" t="s">
        <v>227</v>
      </c>
    </row>
    <row r="48" spans="1:3" ht="14.4">
      <c r="A48" s="11" t="s">
        <v>230</v>
      </c>
      <c r="B48" s="10"/>
      <c r="C48" s="11" t="s">
        <v>231</v>
      </c>
    </row>
    <row r="49" spans="1:3" ht="14.4">
      <c r="A49" s="11" t="s">
        <v>232</v>
      </c>
      <c r="B49" s="10"/>
      <c r="C49" s="11" t="s">
        <v>231</v>
      </c>
    </row>
    <row r="50" spans="1:3" ht="14.4">
      <c r="A50" s="11" t="s">
        <v>233</v>
      </c>
      <c r="B50" s="10"/>
      <c r="C50" s="11" t="s">
        <v>234</v>
      </c>
    </row>
    <row r="51" spans="1:3" ht="14.4">
      <c r="A51" s="11" t="s">
        <v>235</v>
      </c>
      <c r="B51" s="10"/>
      <c r="C51" s="11" t="s">
        <v>234</v>
      </c>
    </row>
    <row r="52" spans="1:3" ht="14.4">
      <c r="A52" s="11" t="s">
        <v>236</v>
      </c>
      <c r="B52" s="10"/>
      <c r="C52" s="11" t="s">
        <v>234</v>
      </c>
    </row>
    <row r="53" spans="1:3" ht="15.75" customHeight="1">
      <c r="A53" s="10" t="s">
        <v>237</v>
      </c>
      <c r="B53" s="10"/>
      <c r="C53" s="11" t="s">
        <v>234</v>
      </c>
    </row>
    <row r="54" spans="1:3" ht="15.75" customHeight="1">
      <c r="A54" s="11" t="s">
        <v>238</v>
      </c>
      <c r="B54" s="10"/>
      <c r="C54" s="11" t="s">
        <v>239</v>
      </c>
    </row>
    <row r="55" spans="1:3" ht="15.75" customHeight="1">
      <c r="A55" s="10" t="s">
        <v>240</v>
      </c>
      <c r="B55" s="10"/>
      <c r="C55" s="11" t="s">
        <v>239</v>
      </c>
    </row>
    <row r="56" spans="1:3" ht="15.75" customHeight="1">
      <c r="A56" s="10" t="s">
        <v>241</v>
      </c>
      <c r="B56" s="10"/>
      <c r="C56" s="11" t="s">
        <v>234</v>
      </c>
    </row>
    <row r="57" spans="1:3" ht="15.75" customHeight="1">
      <c r="A57" s="11" t="s">
        <v>242</v>
      </c>
      <c r="B57" s="10"/>
      <c r="C57" s="11" t="s">
        <v>231</v>
      </c>
    </row>
    <row r="58" spans="1:3" ht="15.75" customHeight="1">
      <c r="A58" s="11" t="s">
        <v>243</v>
      </c>
      <c r="B58" s="10"/>
      <c r="C58" s="11" t="s">
        <v>231</v>
      </c>
    </row>
    <row r="59" spans="1:3" ht="15.75" customHeight="1">
      <c r="A59" s="11" t="s">
        <v>244</v>
      </c>
      <c r="B59" s="10"/>
      <c r="C59" s="11" t="s">
        <v>231</v>
      </c>
    </row>
    <row r="60" spans="1:3" ht="15.75" customHeight="1">
      <c r="A60" s="10" t="s">
        <v>245</v>
      </c>
      <c r="B60" s="10"/>
      <c r="C60" s="10" t="s">
        <v>246</v>
      </c>
    </row>
    <row r="61" spans="1:3" ht="15.75" customHeight="1">
      <c r="A61" s="12" t="s">
        <v>247</v>
      </c>
      <c r="B61" s="10"/>
      <c r="C61" s="10" t="s">
        <v>248</v>
      </c>
    </row>
    <row r="62" spans="1:3" ht="15.75" customHeight="1">
      <c r="A62" s="12" t="s">
        <v>438</v>
      </c>
      <c r="B62" s="10"/>
      <c r="C62" s="10" t="s">
        <v>248</v>
      </c>
    </row>
    <row r="63" spans="1:3" ht="15.75" customHeight="1">
      <c r="A63" s="12" t="s">
        <v>249</v>
      </c>
      <c r="B63" s="10"/>
      <c r="C63" s="10" t="s">
        <v>248</v>
      </c>
    </row>
    <row r="64" spans="1:3" ht="13.2">
      <c r="A64" s="10" t="s">
        <v>228</v>
      </c>
      <c r="B64" s="10"/>
      <c r="C64" s="10" t="s">
        <v>229</v>
      </c>
    </row>
    <row r="65" spans="1:3" ht="15.75" customHeight="1">
      <c r="A65" s="10" t="s">
        <v>439</v>
      </c>
      <c r="B65" s="10" t="s">
        <v>250</v>
      </c>
      <c r="C65" s="10" t="s">
        <v>251</v>
      </c>
    </row>
    <row r="66" spans="1:3" ht="15.75" customHeight="1">
      <c r="A66" s="10" t="s">
        <v>252</v>
      </c>
      <c r="B66" s="10" t="s">
        <v>253</v>
      </c>
      <c r="C66" s="10" t="s">
        <v>254</v>
      </c>
    </row>
    <row r="67" spans="1:3" ht="15.75" customHeight="1">
      <c r="A67" s="10" t="s">
        <v>255</v>
      </c>
      <c r="B67" s="10"/>
      <c r="C67" s="10" t="s">
        <v>256</v>
      </c>
    </row>
    <row r="68" spans="1:3" ht="15.75" customHeight="1">
      <c r="A68" s="10" t="s">
        <v>257</v>
      </c>
      <c r="B68" s="10"/>
      <c r="C68" s="10" t="s">
        <v>258</v>
      </c>
    </row>
    <row r="69" spans="1:3" ht="15.75" customHeight="1">
      <c r="A69" s="10" t="s">
        <v>259</v>
      </c>
      <c r="B69" s="10"/>
      <c r="C69" s="10" t="s">
        <v>260</v>
      </c>
    </row>
    <row r="70" spans="1:3" ht="15.75" customHeight="1">
      <c r="A70" s="10" t="s">
        <v>261</v>
      </c>
      <c r="B70" s="10"/>
      <c r="C70" s="10" t="s">
        <v>262</v>
      </c>
    </row>
    <row r="71" spans="1:3" ht="15.75" customHeight="1">
      <c r="A71" s="10" t="s">
        <v>263</v>
      </c>
      <c r="B71" s="10"/>
      <c r="C71" s="10" t="s">
        <v>262</v>
      </c>
    </row>
    <row r="72" spans="1:3" ht="15.75" customHeight="1">
      <c r="A72" s="10" t="s">
        <v>264</v>
      </c>
      <c r="B72" s="10"/>
      <c r="C72" s="10" t="s">
        <v>262</v>
      </c>
    </row>
    <row r="73" spans="1:3" ht="15.75" customHeight="1">
      <c r="A73" s="10" t="s">
        <v>432</v>
      </c>
      <c r="B73" s="10"/>
      <c r="C73" s="10" t="s">
        <v>266</v>
      </c>
    </row>
    <row r="74" spans="1:3" ht="15.75" customHeight="1">
      <c r="A74" s="10" t="s">
        <v>431</v>
      </c>
      <c r="B74" s="10"/>
      <c r="C74" s="10" t="s">
        <v>268</v>
      </c>
    </row>
    <row r="75" spans="1:3" ht="15.75" customHeight="1">
      <c r="A75" s="10" t="s">
        <v>269</v>
      </c>
      <c r="B75" s="10" t="s">
        <v>253</v>
      </c>
      <c r="C75" s="10" t="s">
        <v>270</v>
      </c>
    </row>
    <row r="76" spans="1:3" ht="15.75" customHeight="1">
      <c r="A76" s="10" t="s">
        <v>271</v>
      </c>
      <c r="B76" s="10"/>
      <c r="C76" s="10" t="s">
        <v>272</v>
      </c>
    </row>
    <row r="77" spans="1:3" ht="15.75" customHeight="1">
      <c r="A77" s="10" t="s">
        <v>273</v>
      </c>
      <c r="B77" s="10"/>
      <c r="C77" s="10" t="s">
        <v>274</v>
      </c>
    </row>
    <row r="78" spans="1:3" ht="15.75" customHeight="1">
      <c r="A78" s="10" t="s">
        <v>275</v>
      </c>
      <c r="B78" s="10"/>
      <c r="C78" s="10" t="s">
        <v>276</v>
      </c>
    </row>
    <row r="79" spans="1:3" ht="15.75" customHeight="1">
      <c r="A79" s="10" t="s">
        <v>277</v>
      </c>
      <c r="B79" s="10"/>
      <c r="C79" s="10" t="s">
        <v>262</v>
      </c>
    </row>
    <row r="80" spans="1:3" ht="15.75" customHeight="1">
      <c r="A80" s="10" t="s">
        <v>278</v>
      </c>
      <c r="B80" s="10"/>
      <c r="C80" s="10" t="s">
        <v>279</v>
      </c>
    </row>
    <row r="81" spans="1:3" ht="15.75" customHeight="1">
      <c r="A81" s="10" t="s">
        <v>280</v>
      </c>
      <c r="B81" s="10"/>
      <c r="C81" s="10" t="s">
        <v>281</v>
      </c>
    </row>
    <row r="82" spans="1:3" ht="15.75" customHeight="1">
      <c r="A82" s="10" t="s">
        <v>282</v>
      </c>
      <c r="B82" s="10"/>
      <c r="C82" s="10" t="s">
        <v>281</v>
      </c>
    </row>
    <row r="83" spans="1:3" ht="15.75" customHeight="1">
      <c r="A83" s="10" t="s">
        <v>269</v>
      </c>
      <c r="B83" s="10"/>
      <c r="C83" s="10" t="s">
        <v>283</v>
      </c>
    </row>
    <row r="84" spans="1:3" ht="15.75" customHeight="1">
      <c r="A84" s="10" t="s">
        <v>275</v>
      </c>
      <c r="B84" s="10"/>
      <c r="C84" s="10" t="s">
        <v>284</v>
      </c>
    </row>
    <row r="85" spans="1:3" ht="15.75" customHeight="1">
      <c r="A85" s="10" t="s">
        <v>285</v>
      </c>
      <c r="B85" s="10"/>
      <c r="C85" s="10" t="s">
        <v>286</v>
      </c>
    </row>
    <row r="86" spans="1:3" ht="15.75" customHeight="1">
      <c r="A86" s="10" t="s">
        <v>287</v>
      </c>
      <c r="B86" s="10"/>
      <c r="C86" s="10" t="s">
        <v>288</v>
      </c>
    </row>
    <row r="87" spans="1:3" ht="15.75" customHeight="1">
      <c r="A87" s="10" t="s">
        <v>289</v>
      </c>
      <c r="B87" s="10" t="s">
        <v>253</v>
      </c>
      <c r="C87" s="10" t="s">
        <v>288</v>
      </c>
    </row>
    <row r="88" spans="1:3" ht="15.75" customHeight="1">
      <c r="A88" s="10" t="s">
        <v>290</v>
      </c>
      <c r="B88" s="10"/>
      <c r="C88" s="10" t="s">
        <v>291</v>
      </c>
    </row>
    <row r="89" spans="1:3" ht="15.75" customHeight="1">
      <c r="A89" s="10" t="s">
        <v>292</v>
      </c>
      <c r="B89" s="10"/>
      <c r="C89" s="10" t="s">
        <v>291</v>
      </c>
    </row>
    <row r="90" spans="1:3" ht="15.75" customHeight="1">
      <c r="A90" s="10" t="s">
        <v>293</v>
      </c>
      <c r="B90" s="10"/>
      <c r="C90" s="10" t="s">
        <v>291</v>
      </c>
    </row>
    <row r="91" spans="1:3" ht="15.75" customHeight="1">
      <c r="A91" s="10" t="s">
        <v>294</v>
      </c>
      <c r="B91" s="10"/>
      <c r="C91" s="10" t="s">
        <v>295</v>
      </c>
    </row>
    <row r="92" spans="1:3" ht="15.75" customHeight="1">
      <c r="A92" s="10" t="s">
        <v>296</v>
      </c>
      <c r="B92" s="10"/>
      <c r="C92" s="10" t="s">
        <v>295</v>
      </c>
    </row>
    <row r="93" spans="1:3" ht="15.75" customHeight="1">
      <c r="A93" s="10" t="s">
        <v>297</v>
      </c>
      <c r="B93" s="10"/>
      <c r="C93" s="10" t="s">
        <v>298</v>
      </c>
    </row>
    <row r="94" spans="1:3" ht="15.75" customHeight="1">
      <c r="A94" s="10" t="s">
        <v>437</v>
      </c>
      <c r="B94" s="10"/>
      <c r="C94" s="10" t="s">
        <v>299</v>
      </c>
    </row>
    <row r="95" spans="1:3" ht="15.75" customHeight="1">
      <c r="A95" s="10" t="s">
        <v>172</v>
      </c>
      <c r="B95" s="10"/>
      <c r="C95" s="10" t="s">
        <v>300</v>
      </c>
    </row>
    <row r="96" spans="1:3" ht="15.75" customHeight="1">
      <c r="A96" s="10" t="s">
        <v>164</v>
      </c>
      <c r="B96" s="10"/>
      <c r="C96" s="10" t="s">
        <v>301</v>
      </c>
    </row>
    <row r="97" spans="1:3" ht="15.75" customHeight="1">
      <c r="A97" s="10" t="s">
        <v>302</v>
      </c>
      <c r="B97" s="10"/>
      <c r="C97" s="10" t="s">
        <v>303</v>
      </c>
    </row>
    <row r="98" spans="1:3" ht="15.75" customHeight="1">
      <c r="A98" s="10" t="s">
        <v>304</v>
      </c>
      <c r="B98" s="10"/>
      <c r="C98" s="10" t="s">
        <v>303</v>
      </c>
    </row>
    <row r="99" spans="1:3" ht="15.75" customHeight="1">
      <c r="A99" s="10" t="s">
        <v>305</v>
      </c>
      <c r="B99" s="10"/>
      <c r="C99" s="10" t="s">
        <v>306</v>
      </c>
    </row>
    <row r="100" spans="1:3" ht="15.75" customHeight="1">
      <c r="A100" s="10" t="s">
        <v>307</v>
      </c>
      <c r="B100" s="10"/>
      <c r="C100" s="10" t="s">
        <v>308</v>
      </c>
    </row>
    <row r="101" spans="1:3" ht="15.75" customHeight="1">
      <c r="A101" s="10" t="s">
        <v>309</v>
      </c>
      <c r="B101" s="10"/>
      <c r="C101" s="10" t="s">
        <v>308</v>
      </c>
    </row>
    <row r="102" spans="1:3" ht="15.75" customHeight="1">
      <c r="A102" s="10" t="s">
        <v>310</v>
      </c>
      <c r="B102" s="10"/>
      <c r="C102" s="10" t="s">
        <v>311</v>
      </c>
    </row>
    <row r="103" spans="1:3" ht="15.75" customHeight="1">
      <c r="A103" s="10" t="s">
        <v>312</v>
      </c>
      <c r="B103" s="10"/>
      <c r="C103" s="10" t="s">
        <v>313</v>
      </c>
    </row>
    <row r="104" spans="1:3" ht="15.75" customHeight="1">
      <c r="A104" s="10" t="s">
        <v>314</v>
      </c>
      <c r="B104" s="10"/>
      <c r="C104" s="10" t="s">
        <v>313</v>
      </c>
    </row>
    <row r="105" spans="1:3" ht="15.75" customHeight="1">
      <c r="A105" s="10" t="s">
        <v>223</v>
      </c>
      <c r="B105" s="10"/>
      <c r="C105" s="10" t="s">
        <v>313</v>
      </c>
    </row>
    <row r="106" spans="1:3" ht="15.75" customHeight="1">
      <c r="A106" s="10" t="s">
        <v>315</v>
      </c>
      <c r="B106" s="10"/>
      <c r="C106" s="10" t="s">
        <v>313</v>
      </c>
    </row>
    <row r="107" spans="1:3" ht="15.75" customHeight="1">
      <c r="A107" s="10" t="s">
        <v>316</v>
      </c>
      <c r="B107" s="10"/>
      <c r="C107" s="10" t="s">
        <v>313</v>
      </c>
    </row>
    <row r="108" spans="1:3" ht="15.75" customHeight="1">
      <c r="A108" s="10" t="s">
        <v>317</v>
      </c>
      <c r="B108" s="10"/>
      <c r="C108" s="10" t="s">
        <v>313</v>
      </c>
    </row>
    <row r="109" spans="1:3" ht="15.75" customHeight="1">
      <c r="A109" s="10" t="s">
        <v>318</v>
      </c>
      <c r="B109" s="10"/>
      <c r="C109" s="10" t="s">
        <v>313</v>
      </c>
    </row>
    <row r="110" spans="1:3" ht="15.75" customHeight="1">
      <c r="A110" s="10" t="s">
        <v>319</v>
      </c>
      <c r="B110" s="10"/>
      <c r="C110" s="10" t="s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7"/>
  <sheetViews>
    <sheetView workbookViewId="0">
      <pane ySplit="1" topLeftCell="A50" activePane="bottomLeft" state="frozen"/>
      <selection activeCell="H16" sqref="H16"/>
      <selection pane="bottomLeft" activeCell="A64" sqref="A64"/>
    </sheetView>
  </sheetViews>
  <sheetFormatPr defaultColWidth="12.6640625" defaultRowHeight="15.75" customHeight="1"/>
  <sheetData>
    <row r="1" spans="1:24" ht="13.2">
      <c r="A1" s="9" t="s">
        <v>2</v>
      </c>
      <c r="B1" s="9" t="s">
        <v>5</v>
      </c>
      <c r="C1" s="9" t="s">
        <v>320</v>
      </c>
      <c r="D1" s="9" t="s">
        <v>321</v>
      </c>
      <c r="E1" s="9" t="s">
        <v>322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2">
      <c r="A2" t="s">
        <v>380</v>
      </c>
      <c r="B2" t="s">
        <v>323</v>
      </c>
      <c r="D2" s="10"/>
      <c r="E2" s="10"/>
    </row>
    <row r="3" spans="1:24" ht="13.2">
      <c r="A3" s="16" t="s">
        <v>375</v>
      </c>
      <c r="B3" s="16" t="s">
        <v>323</v>
      </c>
      <c r="D3" s="10"/>
      <c r="E3" s="10"/>
    </row>
    <row r="4" spans="1:24" ht="13.2">
      <c r="A4" s="16" t="s">
        <v>376</v>
      </c>
      <c r="B4" s="16" t="s">
        <v>323</v>
      </c>
      <c r="D4" s="10"/>
      <c r="E4" s="10"/>
    </row>
    <row r="5" spans="1:24" ht="15.75" customHeight="1">
      <c r="A5" t="s">
        <v>393</v>
      </c>
      <c r="B5" t="s">
        <v>323</v>
      </c>
    </row>
    <row r="6" spans="1:24" ht="15.75" customHeight="1">
      <c r="A6" t="s">
        <v>394</v>
      </c>
      <c r="B6" t="s">
        <v>323</v>
      </c>
    </row>
    <row r="7" spans="1:24" ht="15.75" customHeight="1">
      <c r="A7" t="s">
        <v>395</v>
      </c>
      <c r="B7" t="s">
        <v>323</v>
      </c>
    </row>
    <row r="8" spans="1:24" ht="13.2">
      <c r="A8" t="s">
        <v>370</v>
      </c>
      <c r="B8" t="s">
        <v>323</v>
      </c>
    </row>
    <row r="9" spans="1:24" ht="13.2">
      <c r="A9" t="s">
        <v>396</v>
      </c>
      <c r="B9" t="s">
        <v>323</v>
      </c>
    </row>
    <row r="10" spans="1:24" ht="13.2">
      <c r="A10" t="s">
        <v>371</v>
      </c>
      <c r="B10" t="s">
        <v>323</v>
      </c>
    </row>
    <row r="11" spans="1:24" ht="13.2">
      <c r="A11" t="s">
        <v>369</v>
      </c>
      <c r="B11" t="s">
        <v>323</v>
      </c>
    </row>
    <row r="12" spans="1:24" ht="13.2">
      <c r="A12" t="s">
        <v>372</v>
      </c>
      <c r="B12" t="s">
        <v>323</v>
      </c>
    </row>
    <row r="13" spans="1:24" ht="13.2">
      <c r="A13" t="s">
        <v>397</v>
      </c>
      <c r="B13" t="s">
        <v>323</v>
      </c>
    </row>
    <row r="14" spans="1:24" ht="13.2">
      <c r="A14" t="s">
        <v>398</v>
      </c>
      <c r="B14" t="s">
        <v>323</v>
      </c>
    </row>
    <row r="15" spans="1:24" ht="13.2">
      <c r="A15" t="s">
        <v>399</v>
      </c>
      <c r="B15" t="s">
        <v>323</v>
      </c>
    </row>
    <row r="16" spans="1:24" ht="13.2">
      <c r="A16" t="s">
        <v>400</v>
      </c>
      <c r="B16" t="s">
        <v>323</v>
      </c>
    </row>
    <row r="17" spans="1:2" ht="13.2">
      <c r="A17" t="s">
        <v>401</v>
      </c>
      <c r="B17" t="s">
        <v>323</v>
      </c>
    </row>
    <row r="18" spans="1:2" ht="13.2">
      <c r="A18" t="s">
        <v>402</v>
      </c>
      <c r="B18" t="s">
        <v>323</v>
      </c>
    </row>
    <row r="19" spans="1:2" ht="13.2">
      <c r="A19" t="s">
        <v>403</v>
      </c>
      <c r="B19" t="s">
        <v>323</v>
      </c>
    </row>
    <row r="20" spans="1:2" ht="13.2">
      <c r="A20" t="s">
        <v>404</v>
      </c>
      <c r="B20" t="s">
        <v>323</v>
      </c>
    </row>
    <row r="21" spans="1:2" ht="13.2">
      <c r="A21" t="s">
        <v>405</v>
      </c>
      <c r="B21" t="s">
        <v>323</v>
      </c>
    </row>
    <row r="22" spans="1:2" ht="13.2">
      <c r="A22" t="s">
        <v>406</v>
      </c>
      <c r="B22" t="s">
        <v>323</v>
      </c>
    </row>
    <row r="23" spans="1:2" ht="13.2">
      <c r="A23" t="s">
        <v>373</v>
      </c>
      <c r="B23" t="s">
        <v>323</v>
      </c>
    </row>
    <row r="24" spans="1:2" ht="13.2">
      <c r="A24" t="s">
        <v>377</v>
      </c>
      <c r="B24" t="s">
        <v>323</v>
      </c>
    </row>
    <row r="25" spans="1:2" ht="13.2">
      <c r="A25" t="s">
        <v>407</v>
      </c>
      <c r="B25" t="s">
        <v>323</v>
      </c>
    </row>
    <row r="26" spans="1:2" ht="13.2">
      <c r="A26" t="s">
        <v>408</v>
      </c>
      <c r="B26" t="s">
        <v>323</v>
      </c>
    </row>
    <row r="27" spans="1:2" ht="13.2">
      <c r="A27" t="s">
        <v>409</v>
      </c>
      <c r="B27" t="s">
        <v>323</v>
      </c>
    </row>
    <row r="28" spans="1:2" ht="13.2">
      <c r="A28" t="s">
        <v>410</v>
      </c>
      <c r="B28" t="s">
        <v>324</v>
      </c>
    </row>
    <row r="29" spans="1:2" ht="13.2">
      <c r="A29" t="s">
        <v>411</v>
      </c>
      <c r="B29" t="s">
        <v>324</v>
      </c>
    </row>
    <row r="30" spans="1:2" ht="13.2">
      <c r="A30" t="s">
        <v>412</v>
      </c>
      <c r="B30" t="s">
        <v>324</v>
      </c>
    </row>
    <row r="31" spans="1:2" ht="13.2">
      <c r="A31" t="s">
        <v>379</v>
      </c>
      <c r="B31" t="s">
        <v>324</v>
      </c>
    </row>
    <row r="32" spans="1:2" ht="13.2">
      <c r="A32" t="s">
        <v>413</v>
      </c>
      <c r="B32" t="s">
        <v>324</v>
      </c>
    </row>
    <row r="33" spans="1:5" ht="13.2">
      <c r="A33" t="s">
        <v>414</v>
      </c>
      <c r="B33" t="s">
        <v>324</v>
      </c>
    </row>
    <row r="34" spans="1:5" ht="13.2">
      <c r="A34" t="s">
        <v>415</v>
      </c>
      <c r="B34" t="s">
        <v>324</v>
      </c>
    </row>
    <row r="35" spans="1:5" ht="13.2">
      <c r="A35" t="s">
        <v>416</v>
      </c>
      <c r="B35" t="s">
        <v>324</v>
      </c>
    </row>
    <row r="36" spans="1:5" ht="13.2">
      <c r="A36" t="s">
        <v>417</v>
      </c>
      <c r="B36" t="s">
        <v>324</v>
      </c>
    </row>
    <row r="37" spans="1:5" ht="13.2">
      <c r="A37" t="s">
        <v>418</v>
      </c>
      <c r="B37" t="s">
        <v>324</v>
      </c>
    </row>
    <row r="38" spans="1:5" ht="13.2">
      <c r="A38" t="s">
        <v>368</v>
      </c>
      <c r="B38" t="s">
        <v>324</v>
      </c>
    </row>
    <row r="39" spans="1:5" ht="13.2">
      <c r="A39" t="s">
        <v>378</v>
      </c>
      <c r="B39" t="s">
        <v>324</v>
      </c>
    </row>
    <row r="40" spans="1:5" ht="13.2">
      <c r="A40" t="s">
        <v>419</v>
      </c>
      <c r="B40" t="s">
        <v>324</v>
      </c>
    </row>
    <row r="41" spans="1:5" ht="13.2">
      <c r="A41" t="s">
        <v>420</v>
      </c>
      <c r="B41" t="s">
        <v>324</v>
      </c>
    </row>
    <row r="42" spans="1:5" ht="13.2">
      <c r="A42" t="s">
        <v>367</v>
      </c>
      <c r="B42" t="s">
        <v>324</v>
      </c>
    </row>
    <row r="43" spans="1:5" ht="13.2">
      <c r="A43" t="s">
        <v>421</v>
      </c>
      <c r="B43" t="s">
        <v>324</v>
      </c>
    </row>
    <row r="44" spans="1:5" ht="13.2">
      <c r="A44" t="s">
        <v>422</v>
      </c>
      <c r="B44" t="s">
        <v>324</v>
      </c>
    </row>
    <row r="45" spans="1:5" ht="13.2">
      <c r="A45" t="s">
        <v>366</v>
      </c>
      <c r="B45" t="s">
        <v>324</v>
      </c>
    </row>
    <row r="46" spans="1:5" ht="13.2">
      <c r="A46" s="16" t="s">
        <v>374</v>
      </c>
      <c r="B46" s="16" t="s">
        <v>324</v>
      </c>
    </row>
    <row r="47" spans="1:5" ht="14.4">
      <c r="A47" s="11" t="s">
        <v>230</v>
      </c>
      <c r="B47" s="10" t="s">
        <v>323</v>
      </c>
      <c r="C47" s="10"/>
      <c r="D47" s="10"/>
      <c r="E47" s="10"/>
    </row>
    <row r="48" spans="1:5" ht="14.4">
      <c r="A48" s="11" t="s">
        <v>232</v>
      </c>
      <c r="B48" s="10" t="s">
        <v>323</v>
      </c>
      <c r="C48" s="10"/>
      <c r="D48" s="10"/>
      <c r="E48" s="10"/>
    </row>
    <row r="49" spans="1:5" ht="14.4">
      <c r="A49" s="11" t="s">
        <v>233</v>
      </c>
      <c r="B49" s="10" t="s">
        <v>323</v>
      </c>
      <c r="C49" s="10"/>
      <c r="D49" s="10"/>
      <c r="E49" s="10"/>
    </row>
    <row r="50" spans="1:5" ht="14.4">
      <c r="A50" s="11" t="s">
        <v>235</v>
      </c>
      <c r="B50" s="10" t="s">
        <v>325</v>
      </c>
      <c r="C50" s="10"/>
      <c r="D50" s="10"/>
      <c r="E50" s="10"/>
    </row>
    <row r="51" spans="1:5" ht="14.4">
      <c r="A51" s="11" t="s">
        <v>236</v>
      </c>
      <c r="B51" s="10" t="s">
        <v>323</v>
      </c>
      <c r="C51" s="10"/>
      <c r="D51" s="10"/>
      <c r="E51" s="10"/>
    </row>
    <row r="52" spans="1:5" ht="15.75" customHeight="1">
      <c r="A52" s="10" t="s">
        <v>237</v>
      </c>
      <c r="B52" s="10" t="s">
        <v>323</v>
      </c>
      <c r="C52" s="10"/>
      <c r="D52" s="10"/>
      <c r="E52" s="10"/>
    </row>
    <row r="53" spans="1:5" ht="15.75" customHeight="1">
      <c r="A53" s="11" t="s">
        <v>238</v>
      </c>
      <c r="B53" s="10" t="s">
        <v>323</v>
      </c>
      <c r="C53" s="10" t="s">
        <v>17</v>
      </c>
      <c r="D53" s="10"/>
      <c r="E53" s="10"/>
    </row>
    <row r="54" spans="1:5" ht="15.75" customHeight="1">
      <c r="A54" s="10" t="s">
        <v>240</v>
      </c>
      <c r="B54" s="10" t="s">
        <v>323</v>
      </c>
      <c r="C54" s="10" t="s">
        <v>17</v>
      </c>
      <c r="D54" s="10"/>
      <c r="E54" s="10"/>
    </row>
    <row r="55" spans="1:5" ht="15.75" customHeight="1">
      <c r="A55" s="10" t="s">
        <v>241</v>
      </c>
      <c r="B55" s="10" t="s">
        <v>323</v>
      </c>
      <c r="C55" s="10" t="s">
        <v>17</v>
      </c>
      <c r="D55" s="10"/>
      <c r="E55" s="10"/>
    </row>
    <row r="56" spans="1:5" ht="15.75" customHeight="1">
      <c r="A56" s="11" t="s">
        <v>242</v>
      </c>
      <c r="B56" s="10" t="s">
        <v>323</v>
      </c>
      <c r="C56" s="10" t="s">
        <v>17</v>
      </c>
      <c r="D56" s="10"/>
      <c r="E56" s="10"/>
    </row>
    <row r="57" spans="1:5" ht="15.75" customHeight="1">
      <c r="A57" s="11" t="s">
        <v>243</v>
      </c>
      <c r="B57" s="10" t="s">
        <v>323</v>
      </c>
      <c r="C57" s="10" t="s">
        <v>18</v>
      </c>
      <c r="D57" s="10"/>
      <c r="E57" s="10"/>
    </row>
    <row r="58" spans="1:5" ht="15.75" customHeight="1">
      <c r="A58" s="11" t="s">
        <v>244</v>
      </c>
      <c r="B58" s="10" t="s">
        <v>323</v>
      </c>
      <c r="C58" s="10" t="s">
        <v>17</v>
      </c>
      <c r="D58" s="10"/>
      <c r="E58" s="10"/>
    </row>
    <row r="59" spans="1:5" ht="15.75" customHeight="1">
      <c r="A59" s="10" t="s">
        <v>245</v>
      </c>
      <c r="B59" s="10" t="s">
        <v>323</v>
      </c>
      <c r="C59" s="10" t="s">
        <v>17</v>
      </c>
      <c r="D59" s="10"/>
      <c r="E59" s="10" t="s">
        <v>17</v>
      </c>
    </row>
    <row r="60" spans="1:5" ht="15.75" customHeight="1">
      <c r="A60" s="12" t="s">
        <v>247</v>
      </c>
      <c r="B60" s="10" t="s">
        <v>323</v>
      </c>
      <c r="C60" s="10"/>
      <c r="D60" s="10"/>
      <c r="E60" s="10"/>
    </row>
    <row r="61" spans="1:5" ht="15.75" customHeight="1">
      <c r="A61" s="12" t="s">
        <v>438</v>
      </c>
      <c r="B61" s="10" t="s">
        <v>323</v>
      </c>
      <c r="C61" s="10" t="s">
        <v>17</v>
      </c>
      <c r="D61" s="10"/>
      <c r="E61" s="10" t="s">
        <v>17</v>
      </c>
    </row>
    <row r="62" spans="1:5" ht="15.75" customHeight="1">
      <c r="A62" s="12" t="s">
        <v>249</v>
      </c>
      <c r="B62" s="10" t="s">
        <v>323</v>
      </c>
      <c r="C62" s="10" t="s">
        <v>17</v>
      </c>
      <c r="D62" s="10"/>
      <c r="E62" s="10"/>
    </row>
    <row r="63" spans="1:5" ht="13.2">
      <c r="A63" s="10" t="s">
        <v>228</v>
      </c>
      <c r="B63" s="10" t="s">
        <v>324</v>
      </c>
      <c r="C63" s="10"/>
      <c r="D63" s="10"/>
      <c r="E63" s="10"/>
    </row>
    <row r="64" spans="1:5" ht="15.75" customHeight="1">
      <c r="A64" s="10" t="s">
        <v>439</v>
      </c>
      <c r="B64" s="10" t="s">
        <v>325</v>
      </c>
      <c r="C64" s="10"/>
      <c r="D64" s="10"/>
      <c r="E64" s="10" t="s">
        <v>17</v>
      </c>
    </row>
    <row r="65" spans="1:5" ht="15.75" customHeight="1">
      <c r="A65" s="10" t="s">
        <v>252</v>
      </c>
      <c r="B65" s="10"/>
      <c r="C65" s="10"/>
      <c r="D65" s="10"/>
      <c r="E65" s="10" t="s">
        <v>17</v>
      </c>
    </row>
    <row r="66" spans="1:5" ht="15.75" customHeight="1">
      <c r="A66" s="10" t="s">
        <v>255</v>
      </c>
      <c r="B66" s="10" t="s">
        <v>323</v>
      </c>
      <c r="C66" s="10"/>
      <c r="D66" s="10"/>
      <c r="E66" s="10" t="s">
        <v>17</v>
      </c>
    </row>
    <row r="67" spans="1:5" ht="15.75" customHeight="1">
      <c r="A67" s="10" t="s">
        <v>257</v>
      </c>
      <c r="B67" s="10" t="s">
        <v>323</v>
      </c>
      <c r="C67" s="10"/>
      <c r="D67" s="10"/>
      <c r="E67" s="10" t="s">
        <v>17</v>
      </c>
    </row>
    <row r="68" spans="1:5" ht="15.75" customHeight="1">
      <c r="A68" s="10" t="s">
        <v>259</v>
      </c>
      <c r="B68" s="10"/>
      <c r="C68" s="10"/>
      <c r="D68" s="10"/>
      <c r="E68" s="10" t="s">
        <v>17</v>
      </c>
    </row>
    <row r="69" spans="1:5" ht="15.75" customHeight="1">
      <c r="A69" s="10" t="s">
        <v>261</v>
      </c>
      <c r="B69" s="10" t="s">
        <v>326</v>
      </c>
      <c r="C69" s="10"/>
      <c r="D69" s="10"/>
      <c r="E69" s="10"/>
    </row>
    <row r="70" spans="1:5" ht="15.75" customHeight="1">
      <c r="A70" s="10" t="s">
        <v>263</v>
      </c>
      <c r="B70" s="10"/>
      <c r="C70" s="10"/>
      <c r="D70" s="10"/>
      <c r="E70" s="10"/>
    </row>
    <row r="71" spans="1:5" ht="15.75" customHeight="1">
      <c r="A71" s="10" t="s">
        <v>264</v>
      </c>
      <c r="B71" s="10" t="s">
        <v>325</v>
      </c>
      <c r="C71" s="10"/>
      <c r="D71" s="10"/>
      <c r="E71" s="10"/>
    </row>
    <row r="72" spans="1:5" ht="15.75" customHeight="1">
      <c r="A72" s="10" t="s">
        <v>432</v>
      </c>
      <c r="B72" s="10" t="s">
        <v>324</v>
      </c>
      <c r="C72" s="10"/>
      <c r="D72" s="10"/>
      <c r="E72" s="10"/>
    </row>
    <row r="73" spans="1:5" ht="15.75" customHeight="1">
      <c r="A73" s="10" t="s">
        <v>431</v>
      </c>
      <c r="B73" s="10" t="s">
        <v>324</v>
      </c>
      <c r="C73" s="10"/>
      <c r="D73" s="10"/>
      <c r="E73" s="10"/>
    </row>
    <row r="74" spans="1:5" ht="15.75" customHeight="1">
      <c r="A74" s="10" t="s">
        <v>271</v>
      </c>
      <c r="B74" s="10" t="s">
        <v>326</v>
      </c>
      <c r="C74" s="10"/>
      <c r="D74" s="10"/>
      <c r="E74" s="10"/>
    </row>
    <row r="75" spans="1:5" ht="15.75" customHeight="1">
      <c r="A75" s="10" t="s">
        <v>273</v>
      </c>
      <c r="B75" s="10" t="s">
        <v>324</v>
      </c>
      <c r="C75" s="10"/>
      <c r="D75" s="10"/>
      <c r="E75" s="10"/>
    </row>
    <row r="76" spans="1:5" ht="15.75" customHeight="1">
      <c r="A76" s="10" t="s">
        <v>277</v>
      </c>
      <c r="B76" s="10"/>
      <c r="C76" s="10"/>
      <c r="D76" s="10"/>
      <c r="E76" s="10"/>
    </row>
    <row r="77" spans="1:5" ht="15.75" customHeight="1">
      <c r="A77" s="10" t="s">
        <v>278</v>
      </c>
      <c r="B77" s="10" t="s">
        <v>326</v>
      </c>
      <c r="C77" s="10"/>
      <c r="D77" s="10"/>
      <c r="E77" s="10"/>
    </row>
    <row r="78" spans="1:5" ht="15.75" customHeight="1">
      <c r="A78" s="10" t="s">
        <v>280</v>
      </c>
      <c r="B78" s="10"/>
      <c r="C78" s="10"/>
      <c r="D78" s="10"/>
      <c r="E78" s="10"/>
    </row>
    <row r="79" spans="1:5" ht="15.75" customHeight="1">
      <c r="A79" s="10" t="s">
        <v>282</v>
      </c>
      <c r="B79" s="10"/>
      <c r="C79" s="10"/>
      <c r="D79" s="10"/>
      <c r="E79" s="10"/>
    </row>
    <row r="80" spans="1:5" ht="15.75" customHeight="1">
      <c r="A80" s="10" t="s">
        <v>269</v>
      </c>
      <c r="B80" s="10"/>
      <c r="C80" s="10"/>
      <c r="D80" s="10"/>
      <c r="E80" s="10"/>
    </row>
    <row r="81" spans="1:5" ht="15.75" customHeight="1">
      <c r="A81" s="10" t="s">
        <v>275</v>
      </c>
      <c r="B81" s="10"/>
      <c r="C81" s="10"/>
      <c r="D81" s="10"/>
      <c r="E81" s="10"/>
    </row>
    <row r="82" spans="1:5" ht="15.75" customHeight="1">
      <c r="A82" s="10" t="s">
        <v>285</v>
      </c>
      <c r="B82" s="10"/>
      <c r="C82" s="10"/>
      <c r="D82" s="10"/>
      <c r="E82" s="10"/>
    </row>
    <row r="83" spans="1:5" ht="15.75" customHeight="1">
      <c r="A83" s="10" t="s">
        <v>287</v>
      </c>
      <c r="B83" s="10" t="s">
        <v>326</v>
      </c>
      <c r="C83" s="10"/>
      <c r="D83" s="10"/>
      <c r="E83" s="10"/>
    </row>
    <row r="84" spans="1:5" ht="15.75" customHeight="1">
      <c r="A84" s="10" t="s">
        <v>289</v>
      </c>
      <c r="B84" s="10"/>
      <c r="C84" s="10"/>
      <c r="D84" s="10"/>
      <c r="E84" s="10"/>
    </row>
    <row r="85" spans="1:5" ht="15.75" customHeight="1">
      <c r="A85" s="10" t="s">
        <v>290</v>
      </c>
      <c r="B85" s="10" t="s">
        <v>326</v>
      </c>
      <c r="C85" s="10"/>
      <c r="D85" s="10"/>
      <c r="E85" s="10" t="s">
        <v>17</v>
      </c>
    </row>
    <row r="86" spans="1:5" ht="15.75" customHeight="1">
      <c r="A86" s="10" t="s">
        <v>292</v>
      </c>
      <c r="B86" s="10" t="s">
        <v>326</v>
      </c>
      <c r="C86" s="10"/>
      <c r="D86" s="10"/>
      <c r="E86" s="10" t="s">
        <v>17</v>
      </c>
    </row>
    <row r="87" spans="1:5" ht="15.75" customHeight="1">
      <c r="A87" s="10" t="s">
        <v>293</v>
      </c>
      <c r="B87" s="10" t="s">
        <v>326</v>
      </c>
      <c r="C87" s="10"/>
      <c r="D87" s="10"/>
      <c r="E87" s="10" t="s">
        <v>327</v>
      </c>
    </row>
    <row r="88" spans="1:5" ht="15.75" customHeight="1">
      <c r="A88" s="10" t="s">
        <v>294</v>
      </c>
      <c r="B88" s="10" t="s">
        <v>326</v>
      </c>
      <c r="C88" s="10"/>
      <c r="D88" s="10"/>
      <c r="E88" s="10" t="s">
        <v>17</v>
      </c>
    </row>
    <row r="89" spans="1:5" ht="15.75" customHeight="1">
      <c r="A89" s="10" t="s">
        <v>296</v>
      </c>
      <c r="B89" s="10" t="s">
        <v>326</v>
      </c>
      <c r="C89" s="10"/>
      <c r="D89" s="10"/>
      <c r="E89" s="10" t="s">
        <v>17</v>
      </c>
    </row>
    <row r="90" spans="1:5" ht="15.75" customHeight="1">
      <c r="A90" s="10" t="s">
        <v>297</v>
      </c>
      <c r="B90" s="10" t="s">
        <v>326</v>
      </c>
      <c r="C90" s="10"/>
      <c r="D90" s="10"/>
      <c r="E90" s="10" t="s">
        <v>17</v>
      </c>
    </row>
    <row r="91" spans="1:5" ht="15.75" customHeight="1">
      <c r="A91" s="10" t="s">
        <v>437</v>
      </c>
      <c r="B91" s="10" t="s">
        <v>323</v>
      </c>
      <c r="C91" s="10"/>
      <c r="D91" s="10"/>
      <c r="E91" s="10" t="s">
        <v>17</v>
      </c>
    </row>
    <row r="92" spans="1:5" ht="15.75" customHeight="1">
      <c r="A92" s="10" t="s">
        <v>172</v>
      </c>
      <c r="B92" s="10" t="s">
        <v>323</v>
      </c>
      <c r="C92" s="10"/>
      <c r="D92" s="10"/>
      <c r="E92" s="10" t="s">
        <v>17</v>
      </c>
    </row>
    <row r="93" spans="1:5" ht="15.75" customHeight="1">
      <c r="A93" s="10" t="s">
        <v>164</v>
      </c>
      <c r="B93" s="10" t="s">
        <v>323</v>
      </c>
      <c r="C93" s="10"/>
      <c r="D93" s="10"/>
      <c r="E93" s="10" t="s">
        <v>17</v>
      </c>
    </row>
    <row r="94" spans="1:5" ht="15.75" customHeight="1">
      <c r="A94" s="10" t="s">
        <v>302</v>
      </c>
      <c r="B94" s="10" t="s">
        <v>323</v>
      </c>
    </row>
    <row r="95" spans="1:5" ht="15.75" customHeight="1">
      <c r="A95" s="10" t="s">
        <v>304</v>
      </c>
      <c r="B95" s="10" t="s">
        <v>323</v>
      </c>
    </row>
    <row r="96" spans="1:5" ht="15.75" customHeight="1">
      <c r="A96" s="10" t="s">
        <v>305</v>
      </c>
      <c r="B96" s="10" t="s">
        <v>323</v>
      </c>
    </row>
    <row r="97" spans="1:2" ht="15.75" customHeight="1">
      <c r="A97" s="10" t="s">
        <v>307</v>
      </c>
      <c r="B97" s="10" t="s">
        <v>323</v>
      </c>
    </row>
    <row r="98" spans="1:2" ht="15.75" customHeight="1">
      <c r="A98" s="10" t="s">
        <v>309</v>
      </c>
      <c r="B98" s="10" t="s">
        <v>323</v>
      </c>
    </row>
    <row r="99" spans="1:2" ht="15.75" customHeight="1">
      <c r="A99" s="10" t="s">
        <v>310</v>
      </c>
      <c r="B99" s="10" t="s">
        <v>324</v>
      </c>
    </row>
    <row r="100" spans="1:2" ht="15.75" customHeight="1">
      <c r="A100" s="10" t="s">
        <v>312</v>
      </c>
      <c r="B100" s="10" t="s">
        <v>324</v>
      </c>
    </row>
    <row r="101" spans="1:2" ht="15.75" customHeight="1">
      <c r="A101" s="10" t="s">
        <v>314</v>
      </c>
      <c r="B101" s="10" t="s">
        <v>324</v>
      </c>
    </row>
    <row r="102" spans="1:2" ht="15.75" customHeight="1">
      <c r="A102" s="10" t="s">
        <v>223</v>
      </c>
      <c r="B102" s="10" t="s">
        <v>324</v>
      </c>
    </row>
    <row r="103" spans="1:2" ht="15.75" customHeight="1">
      <c r="A103" s="10" t="s">
        <v>315</v>
      </c>
      <c r="B103" s="10" t="s">
        <v>324</v>
      </c>
    </row>
    <row r="104" spans="1:2" ht="15.75" customHeight="1">
      <c r="A104" s="10" t="s">
        <v>316</v>
      </c>
      <c r="B104" s="10" t="s">
        <v>324</v>
      </c>
    </row>
    <row r="105" spans="1:2" ht="15.75" customHeight="1">
      <c r="A105" s="10" t="s">
        <v>317</v>
      </c>
      <c r="B105" s="10"/>
    </row>
    <row r="106" spans="1:2" ht="15.75" customHeight="1">
      <c r="A106" s="10" t="s">
        <v>318</v>
      </c>
      <c r="B106" s="10"/>
    </row>
    <row r="107" spans="1:2" ht="15.75" customHeight="1">
      <c r="A107" s="10" t="s">
        <v>319</v>
      </c>
      <c r="B10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85"/>
  <sheetViews>
    <sheetView workbookViewId="0">
      <pane ySplit="1" topLeftCell="A16" activePane="bottomLeft" state="frozen"/>
      <selection activeCell="B3" sqref="B3"/>
      <selection pane="bottomLeft" activeCell="A35" sqref="A35"/>
    </sheetView>
  </sheetViews>
  <sheetFormatPr defaultColWidth="12.6640625" defaultRowHeight="15.75" customHeight="1"/>
  <sheetData>
    <row r="1" spans="1:7" ht="15.75" customHeight="1">
      <c r="A1" s="9" t="s">
        <v>2</v>
      </c>
      <c r="B1" s="13" t="s">
        <v>328</v>
      </c>
      <c r="C1" s="13" t="s">
        <v>329</v>
      </c>
      <c r="D1" s="13" t="s">
        <v>330</v>
      </c>
      <c r="E1" s="13" t="s">
        <v>331</v>
      </c>
      <c r="F1" s="13" t="s">
        <v>332</v>
      </c>
      <c r="G1" s="9" t="s">
        <v>1</v>
      </c>
    </row>
    <row r="2" spans="1:7" ht="15.75" customHeight="1">
      <c r="A2" t="s">
        <v>366</v>
      </c>
      <c r="B2">
        <v>6.5</v>
      </c>
      <c r="C2">
        <v>6.5</v>
      </c>
      <c r="D2">
        <f t="shared" ref="D2:E13" si="0">B2/SQRT(8*LOG(2,EXP(1)))</f>
        <v>2.7602958509360618</v>
      </c>
      <c r="E2">
        <f t="shared" si="0"/>
        <v>2.7602958509360618</v>
      </c>
      <c r="F2">
        <f t="shared" ref="F2:F13" si="1">D2*E2*PI()</f>
        <v>23.936526999024863</v>
      </c>
      <c r="G2" t="s">
        <v>381</v>
      </c>
    </row>
    <row r="3" spans="1:7" ht="15.75" customHeight="1">
      <c r="A3" t="s">
        <v>367</v>
      </c>
      <c r="B3">
        <v>12</v>
      </c>
      <c r="C3">
        <v>12</v>
      </c>
      <c r="D3">
        <f t="shared" si="0"/>
        <v>5.0959308017281142</v>
      </c>
      <c r="E3">
        <f t="shared" si="0"/>
        <v>5.0959308017281142</v>
      </c>
      <c r="F3">
        <f t="shared" si="1"/>
        <v>81.582482552889488</v>
      </c>
      <c r="G3" t="s">
        <v>381</v>
      </c>
    </row>
    <row r="4" spans="1:7" ht="15.75" customHeight="1">
      <c r="A4" t="s">
        <v>368</v>
      </c>
      <c r="B4">
        <v>6.5</v>
      </c>
      <c r="C4">
        <v>6.5</v>
      </c>
      <c r="D4">
        <f t="shared" si="0"/>
        <v>2.7602958509360618</v>
      </c>
      <c r="E4">
        <f t="shared" si="0"/>
        <v>2.7602958509360618</v>
      </c>
      <c r="F4">
        <f t="shared" si="1"/>
        <v>23.936526999024863</v>
      </c>
      <c r="G4" t="s">
        <v>381</v>
      </c>
    </row>
    <row r="5" spans="1:7" ht="15.75" customHeight="1">
      <c r="A5" t="s">
        <v>369</v>
      </c>
      <c r="B5">
        <v>6.5</v>
      </c>
      <c r="C5">
        <v>6.5</v>
      </c>
      <c r="D5">
        <f t="shared" si="0"/>
        <v>2.7602958509360618</v>
      </c>
      <c r="E5">
        <f t="shared" si="0"/>
        <v>2.7602958509360618</v>
      </c>
      <c r="F5">
        <f t="shared" si="1"/>
        <v>23.936526999024863</v>
      </c>
      <c r="G5" t="s">
        <v>381</v>
      </c>
    </row>
    <row r="6" spans="1:7" ht="15.75" customHeight="1">
      <c r="A6" t="s">
        <v>370</v>
      </c>
      <c r="B6">
        <v>7</v>
      </c>
      <c r="C6">
        <v>7</v>
      </c>
      <c r="D6">
        <f t="shared" si="0"/>
        <v>2.9726263010080669</v>
      </c>
      <c r="E6">
        <f t="shared" si="0"/>
        <v>2.9726263010080669</v>
      </c>
      <c r="F6">
        <f t="shared" si="1"/>
        <v>27.760705868691563</v>
      </c>
      <c r="G6" t="s">
        <v>381</v>
      </c>
    </row>
    <row r="7" spans="1:7" ht="15.75" customHeight="1">
      <c r="A7" t="s">
        <v>371</v>
      </c>
      <c r="B7">
        <v>7</v>
      </c>
      <c r="C7">
        <v>7</v>
      </c>
      <c r="D7">
        <f t="shared" si="0"/>
        <v>2.9726263010080669</v>
      </c>
      <c r="E7">
        <f t="shared" si="0"/>
        <v>2.9726263010080669</v>
      </c>
      <c r="F7">
        <f t="shared" si="1"/>
        <v>27.760705868691563</v>
      </c>
      <c r="G7" t="s">
        <v>381</v>
      </c>
    </row>
    <row r="8" spans="1:7" ht="15.75" customHeight="1">
      <c r="A8" t="s">
        <v>372</v>
      </c>
      <c r="B8">
        <v>10</v>
      </c>
      <c r="C8">
        <v>10</v>
      </c>
      <c r="D8">
        <f t="shared" si="0"/>
        <v>4.2466090014400955</v>
      </c>
      <c r="E8">
        <f t="shared" si="0"/>
        <v>4.2466090014400955</v>
      </c>
      <c r="F8">
        <f t="shared" si="1"/>
        <v>56.654501772839929</v>
      </c>
      <c r="G8" t="s">
        <v>381</v>
      </c>
    </row>
    <row r="9" spans="1:7" ht="15.75" customHeight="1">
      <c r="A9" t="s">
        <v>373</v>
      </c>
      <c r="B9">
        <v>7</v>
      </c>
      <c r="C9">
        <v>7</v>
      </c>
      <c r="D9">
        <f t="shared" si="0"/>
        <v>2.9726263010080669</v>
      </c>
      <c r="E9">
        <f t="shared" si="0"/>
        <v>2.9726263010080669</v>
      </c>
      <c r="F9">
        <f t="shared" si="1"/>
        <v>27.760705868691563</v>
      </c>
      <c r="G9" t="s">
        <v>381</v>
      </c>
    </row>
    <row r="10" spans="1:7" ht="15.75" customHeight="1">
      <c r="A10" t="s">
        <v>374</v>
      </c>
      <c r="B10">
        <v>6.5</v>
      </c>
      <c r="C10">
        <v>6.5</v>
      </c>
      <c r="D10">
        <f t="shared" si="0"/>
        <v>2.7602958509360618</v>
      </c>
      <c r="E10">
        <f t="shared" si="0"/>
        <v>2.7602958509360618</v>
      </c>
      <c r="F10">
        <f t="shared" si="1"/>
        <v>23.936526999024863</v>
      </c>
      <c r="G10" t="s">
        <v>382</v>
      </c>
    </row>
    <row r="11" spans="1:7" ht="15.75" customHeight="1">
      <c r="A11" t="s">
        <v>375</v>
      </c>
      <c r="B11">
        <v>6.5</v>
      </c>
      <c r="C11">
        <v>6.5</v>
      </c>
      <c r="D11">
        <f t="shared" si="0"/>
        <v>2.7602958509360618</v>
      </c>
      <c r="E11">
        <f t="shared" si="0"/>
        <v>2.7602958509360618</v>
      </c>
      <c r="F11">
        <f t="shared" si="1"/>
        <v>23.936526999024863</v>
      </c>
      <c r="G11" t="s">
        <v>382</v>
      </c>
    </row>
    <row r="12" spans="1:7" ht="15.75" customHeight="1">
      <c r="A12" t="s">
        <v>376</v>
      </c>
      <c r="B12">
        <v>4</v>
      </c>
      <c r="C12">
        <v>4</v>
      </c>
      <c r="D12">
        <f t="shared" si="0"/>
        <v>1.6986436005760381</v>
      </c>
      <c r="E12">
        <f t="shared" si="0"/>
        <v>1.6986436005760381</v>
      </c>
      <c r="F12">
        <f t="shared" si="1"/>
        <v>9.0647202836543865</v>
      </c>
      <c r="G12" t="s">
        <v>382</v>
      </c>
    </row>
    <row r="13" spans="1:7" ht="15.75" customHeight="1">
      <c r="A13" t="s">
        <v>377</v>
      </c>
      <c r="B13">
        <v>7</v>
      </c>
      <c r="C13">
        <v>7</v>
      </c>
      <c r="D13">
        <f t="shared" si="0"/>
        <v>2.9726263010080669</v>
      </c>
      <c r="E13">
        <f t="shared" si="0"/>
        <v>2.9726263010080669</v>
      </c>
      <c r="F13">
        <f t="shared" si="1"/>
        <v>27.760705868691563</v>
      </c>
      <c r="G13" t="s">
        <v>382</v>
      </c>
    </row>
    <row r="14" spans="1:7" ht="15.75" customHeight="1">
      <c r="A14" t="s">
        <v>378</v>
      </c>
      <c r="B14">
        <v>6.5</v>
      </c>
      <c r="C14">
        <v>6.5</v>
      </c>
      <c r="D14">
        <f t="shared" ref="D14:E16" si="2">B14/SQRT(8*LOG(2,EXP(1)))</f>
        <v>2.7602958509360618</v>
      </c>
      <c r="E14">
        <f t="shared" si="2"/>
        <v>2.7602958509360618</v>
      </c>
      <c r="F14">
        <f>D14*E14*PI()</f>
        <v>23.936526999024863</v>
      </c>
      <c r="G14" t="s">
        <v>382</v>
      </c>
    </row>
    <row r="15" spans="1:7" ht="15.75" customHeight="1">
      <c r="A15" t="s">
        <v>379</v>
      </c>
      <c r="B15">
        <v>10</v>
      </c>
      <c r="C15">
        <v>10</v>
      </c>
      <c r="D15">
        <f t="shared" si="2"/>
        <v>4.2466090014400955</v>
      </c>
      <c r="E15">
        <f t="shared" si="2"/>
        <v>4.2466090014400955</v>
      </c>
      <c r="F15">
        <f>D15*E15*PI()</f>
        <v>56.654501772839929</v>
      </c>
      <c r="G15" t="s">
        <v>433</v>
      </c>
    </row>
    <row r="16" spans="1:7" ht="15.75" customHeight="1">
      <c r="A16" t="s">
        <v>380</v>
      </c>
      <c r="B16">
        <v>10</v>
      </c>
      <c r="C16">
        <v>10</v>
      </c>
      <c r="D16">
        <f t="shared" si="2"/>
        <v>4.2466090014400955</v>
      </c>
      <c r="E16">
        <f t="shared" si="2"/>
        <v>4.2466090014400955</v>
      </c>
      <c r="F16">
        <f>D16*E16*PI()</f>
        <v>56.654501772839929</v>
      </c>
      <c r="G16" t="s">
        <v>434</v>
      </c>
    </row>
    <row r="17" spans="1:7" ht="15.75" customHeight="1">
      <c r="A17" s="10" t="s">
        <v>226</v>
      </c>
      <c r="B17" s="14">
        <v>29.8</v>
      </c>
      <c r="C17" s="14">
        <v>24</v>
      </c>
      <c r="D17" s="14">
        <f t="shared" ref="D17:E17" si="3">B17/SQRT(8*LOG(2,EXP(1)))</f>
        <v>12.654894824291484</v>
      </c>
      <c r="E17" s="14">
        <f t="shared" si="3"/>
        <v>10.191861603456228</v>
      </c>
      <c r="F17" s="14">
        <f t="shared" ref="F17:F20" si="4">D17*E17*PI()</f>
        <v>405.19299667935115</v>
      </c>
      <c r="G17" s="11" t="s">
        <v>333</v>
      </c>
    </row>
    <row r="18" spans="1:7" ht="15.75" customHeight="1">
      <c r="A18" s="11" t="s">
        <v>230</v>
      </c>
      <c r="B18" s="14">
        <v>23.9</v>
      </c>
      <c r="C18" s="14">
        <v>17.399999999999999</v>
      </c>
      <c r="D18" s="14">
        <f t="shared" ref="D18:E18" si="5">B18/SQRT(8*LOG(2,EXP(1)))</f>
        <v>10.149395513441828</v>
      </c>
      <c r="E18" s="14">
        <f t="shared" si="5"/>
        <v>7.3890996625057657</v>
      </c>
      <c r="F18" s="14">
        <f t="shared" si="4"/>
        <v>235.60341107253208</v>
      </c>
      <c r="G18" s="11" t="s">
        <v>333</v>
      </c>
    </row>
    <row r="19" spans="1:7" ht="15.75" customHeight="1">
      <c r="A19" s="11" t="s">
        <v>232</v>
      </c>
      <c r="B19" s="14">
        <v>23.2</v>
      </c>
      <c r="C19" s="14">
        <v>21.3</v>
      </c>
      <c r="D19" s="14">
        <f t="shared" ref="D19:E19" si="6">B19/SQRT(8*LOG(2,EXP(1)))</f>
        <v>9.8521328833410209</v>
      </c>
      <c r="E19" s="14">
        <f t="shared" si="6"/>
        <v>9.0452771730674026</v>
      </c>
      <c r="F19" s="14">
        <f t="shared" si="4"/>
        <v>279.96388596066572</v>
      </c>
      <c r="G19" s="11" t="s">
        <v>333</v>
      </c>
    </row>
    <row r="20" spans="1:7" ht="15.75" customHeight="1">
      <c r="A20" s="11" t="s">
        <v>233</v>
      </c>
      <c r="B20" s="14">
        <v>19.399999999999999</v>
      </c>
      <c r="C20" s="14">
        <v>13.6</v>
      </c>
      <c r="D20" s="14">
        <f t="shared" ref="D20:E20" si="7">B20/SQRT(8*LOG(2,EXP(1)))</f>
        <v>8.2384214627937844</v>
      </c>
      <c r="E20" s="14">
        <f t="shared" si="7"/>
        <v>5.7753882419585292</v>
      </c>
      <c r="F20" s="14">
        <f t="shared" si="4"/>
        <v>149.47723747746082</v>
      </c>
      <c r="G20" s="11" t="s">
        <v>333</v>
      </c>
    </row>
    <row r="21" spans="1:7" ht="15.75" customHeight="1">
      <c r="A21" s="11" t="s">
        <v>235</v>
      </c>
      <c r="B21" s="10"/>
      <c r="C21" s="10"/>
      <c r="D21" s="14"/>
      <c r="E21" s="14"/>
      <c r="F21" s="14"/>
      <c r="G21" s="10"/>
    </row>
    <row r="22" spans="1:7" ht="15.75" customHeight="1">
      <c r="A22" s="11" t="s">
        <v>236</v>
      </c>
      <c r="B22" s="14">
        <v>22</v>
      </c>
      <c r="C22" s="14">
        <v>23</v>
      </c>
      <c r="D22" s="14">
        <f t="shared" ref="D22:E22" si="8">B22/SQRT(8*LOG(2,EXP(1)))</f>
        <v>9.3425398031682096</v>
      </c>
      <c r="E22" s="14">
        <f t="shared" si="8"/>
        <v>9.7672007033122199</v>
      </c>
      <c r="F22" s="14">
        <f>D22*E22*PI()</f>
        <v>286.67177897057002</v>
      </c>
      <c r="G22" s="11" t="s">
        <v>333</v>
      </c>
    </row>
    <row r="23" spans="1:7" ht="15.75" customHeight="1">
      <c r="A23" s="10" t="s">
        <v>237</v>
      </c>
      <c r="B23" s="10"/>
      <c r="C23" s="10"/>
      <c r="D23" s="14"/>
      <c r="E23" s="14"/>
      <c r="F23" s="14"/>
      <c r="G23" s="10"/>
    </row>
    <row r="24" spans="1:7" ht="15.75" customHeight="1">
      <c r="A24" s="11" t="s">
        <v>238</v>
      </c>
      <c r="B24" s="14">
        <v>22.4</v>
      </c>
      <c r="C24" s="14">
        <v>19.600000000000001</v>
      </c>
      <c r="D24" s="14">
        <f t="shared" ref="D24:E24" si="9">B24/SQRT(8*LOG(2,EXP(1)))</f>
        <v>9.5124041632258134</v>
      </c>
      <c r="E24" s="14">
        <f t="shared" si="9"/>
        <v>8.3233536428225872</v>
      </c>
      <c r="F24" s="14">
        <f t="shared" ref="F24:F25" si="10">D24*E24*PI()</f>
        <v>248.73592458347642</v>
      </c>
      <c r="G24" s="11" t="s">
        <v>333</v>
      </c>
    </row>
    <row r="25" spans="1:7" ht="15.75" customHeight="1">
      <c r="A25" s="10" t="s">
        <v>240</v>
      </c>
      <c r="B25" s="10">
        <v>37.9</v>
      </c>
      <c r="C25" s="10">
        <v>20.2</v>
      </c>
      <c r="D25" s="14">
        <f t="shared" ref="D25:E25" si="11">B25/SQRT(8*LOG(2,EXP(1)))</f>
        <v>16.094648115457961</v>
      </c>
      <c r="E25" s="14">
        <f t="shared" si="11"/>
        <v>8.5781501829089919</v>
      </c>
      <c r="F25" s="14">
        <f t="shared" si="10"/>
        <v>433.73553467250787</v>
      </c>
      <c r="G25" s="11" t="s">
        <v>333</v>
      </c>
    </row>
    <row r="26" spans="1:7" ht="15.75" customHeight="1">
      <c r="A26" s="10" t="s">
        <v>241</v>
      </c>
      <c r="B26" s="10"/>
      <c r="C26" s="10"/>
      <c r="D26" s="14"/>
      <c r="E26" s="14"/>
      <c r="F26" s="14"/>
      <c r="G26" s="10"/>
    </row>
    <row r="27" spans="1:7" ht="15.75" customHeight="1">
      <c r="A27" s="11" t="s">
        <v>242</v>
      </c>
      <c r="B27" s="10">
        <v>32.4</v>
      </c>
      <c r="C27" s="10">
        <v>19.7</v>
      </c>
      <c r="D27" s="14">
        <f t="shared" ref="D27:E27" si="12">B27/SQRT(8*LOG(2,EXP(1)))</f>
        <v>13.759013164665909</v>
      </c>
      <c r="E27" s="14">
        <f t="shared" si="12"/>
        <v>8.3658197328369877</v>
      </c>
      <c r="F27" s="14">
        <f t="shared" ref="F27:F29" si="13">D27*E27*PI()</f>
        <v>361.61435391568261</v>
      </c>
      <c r="G27" s="11" t="s">
        <v>333</v>
      </c>
    </row>
    <row r="28" spans="1:7" ht="15.75" customHeight="1">
      <c r="A28" s="11" t="s">
        <v>243</v>
      </c>
      <c r="B28" s="14">
        <v>24.4</v>
      </c>
      <c r="C28" s="14">
        <v>16.899999999999999</v>
      </c>
      <c r="D28" s="14">
        <f t="shared" ref="D28:E28" si="14">B28/SQRT(8*LOG(2,EXP(1)))</f>
        <v>10.361725963513832</v>
      </c>
      <c r="E28" s="14">
        <f t="shared" si="14"/>
        <v>7.1767692124337605</v>
      </c>
      <c r="F28" s="14">
        <f t="shared" si="13"/>
        <v>233.62050351048271</v>
      </c>
      <c r="G28" s="11" t="s">
        <v>333</v>
      </c>
    </row>
    <row r="29" spans="1:7" ht="15.75" customHeight="1">
      <c r="A29" s="11" t="s">
        <v>244</v>
      </c>
      <c r="B29" s="14">
        <v>18.7</v>
      </c>
      <c r="C29" s="14">
        <v>14.6</v>
      </c>
      <c r="D29" s="14">
        <f t="shared" ref="D29:E29" si="15">B29/SQRT(8*LOG(2,EXP(1)))</f>
        <v>7.9411588326929783</v>
      </c>
      <c r="E29" s="14">
        <f t="shared" si="15"/>
        <v>6.2000491421025394</v>
      </c>
      <c r="F29" s="14">
        <f t="shared" si="13"/>
        <v>154.67812074020756</v>
      </c>
      <c r="G29" s="11" t="s">
        <v>333</v>
      </c>
    </row>
    <row r="30" spans="1:7" ht="15.75" customHeight="1">
      <c r="A30" s="10" t="s">
        <v>245</v>
      </c>
      <c r="B30" s="10"/>
      <c r="C30" s="10"/>
      <c r="D30" s="14"/>
      <c r="E30" s="14"/>
      <c r="F30" s="14"/>
      <c r="G30" s="10"/>
    </row>
    <row r="31" spans="1:7" ht="15.75" customHeight="1">
      <c r="A31" s="12" t="s">
        <v>247</v>
      </c>
      <c r="B31" s="10">
        <v>20</v>
      </c>
      <c r="C31" s="10">
        <v>20</v>
      </c>
      <c r="D31" s="14">
        <f t="shared" ref="D31:E31" si="16">B31/SQRT(8*LOG(2,EXP(1)))</f>
        <v>8.4932180028801909</v>
      </c>
      <c r="E31" s="14">
        <f t="shared" si="16"/>
        <v>8.4932180028801909</v>
      </c>
      <c r="F31" s="14">
        <f t="shared" ref="F31:F33" si="17">D31*E31*PI()</f>
        <v>226.61800709135971</v>
      </c>
      <c r="G31" s="10" t="s">
        <v>335</v>
      </c>
    </row>
    <row r="32" spans="1:7" ht="15.75" customHeight="1">
      <c r="A32" s="12" t="s">
        <v>438</v>
      </c>
      <c r="B32" s="10">
        <f t="shared" ref="B32:C32" si="18">5*9</f>
        <v>45</v>
      </c>
      <c r="C32" s="10">
        <f t="shared" si="18"/>
        <v>45</v>
      </c>
      <c r="D32" s="14">
        <f t="shared" ref="D32:E32" si="19">B32/SQRT(8*LOG(2,EXP(1)))</f>
        <v>19.109740506480428</v>
      </c>
      <c r="E32" s="14">
        <f t="shared" si="19"/>
        <v>19.109740506480428</v>
      </c>
      <c r="F32" s="14">
        <f t="shared" si="17"/>
        <v>1147.2536609000083</v>
      </c>
      <c r="G32" s="10" t="s">
        <v>336</v>
      </c>
    </row>
    <row r="33" spans="1:8" ht="15.75" customHeight="1">
      <c r="A33" s="12" t="s">
        <v>249</v>
      </c>
      <c r="B33" s="10">
        <f t="shared" ref="B33:C33" si="20">4*9</f>
        <v>36</v>
      </c>
      <c r="C33" s="10">
        <f t="shared" si="20"/>
        <v>36</v>
      </c>
      <c r="D33" s="14">
        <f t="shared" ref="D33:E33" si="21">B33/SQRT(8*LOG(2,EXP(1)))</f>
        <v>15.287792405184343</v>
      </c>
      <c r="E33" s="14">
        <f t="shared" si="21"/>
        <v>15.287792405184343</v>
      </c>
      <c r="F33" s="14">
        <f t="shared" si="17"/>
        <v>734.24234297600526</v>
      </c>
      <c r="G33" s="10" t="s">
        <v>336</v>
      </c>
    </row>
    <row r="34" spans="1:8" ht="15.75" customHeight="1">
      <c r="A34" s="10" t="s">
        <v>228</v>
      </c>
      <c r="B34" s="10">
        <f t="shared" ref="B34:C34" si="22">4*5</f>
        <v>20</v>
      </c>
      <c r="C34" s="10">
        <f t="shared" si="22"/>
        <v>20</v>
      </c>
      <c r="D34" s="14">
        <f t="shared" ref="D34:E34" si="23">B34/SQRT(8*LOG(2,EXP(1)))</f>
        <v>8.4932180028801909</v>
      </c>
      <c r="E34" s="14">
        <f t="shared" si="23"/>
        <v>8.4932180028801909</v>
      </c>
      <c r="F34" s="14">
        <f>D34*E34*PI()</f>
        <v>226.61800709135971</v>
      </c>
      <c r="G34" s="11" t="s">
        <v>334</v>
      </c>
    </row>
    <row r="35" spans="1:8" ht="15.75" customHeight="1">
      <c r="A35" s="10" t="s">
        <v>439</v>
      </c>
      <c r="B35" s="10"/>
      <c r="C35" s="10"/>
      <c r="D35" s="14"/>
      <c r="E35" s="14"/>
      <c r="F35" s="14"/>
      <c r="G35" s="10"/>
    </row>
    <row r="36" spans="1:8" ht="15.75" customHeight="1">
      <c r="A36" s="10" t="s">
        <v>252</v>
      </c>
      <c r="B36" s="10"/>
      <c r="C36" s="10"/>
      <c r="D36" s="14"/>
      <c r="E36" s="14"/>
      <c r="F36" s="14"/>
      <c r="G36" s="10"/>
    </row>
    <row r="37" spans="1:8" ht="15.75" customHeight="1">
      <c r="A37" s="10" t="s">
        <v>255</v>
      </c>
      <c r="B37" s="10"/>
      <c r="C37" s="10"/>
      <c r="D37" s="14"/>
      <c r="E37" s="14"/>
      <c r="F37" s="14"/>
      <c r="G37" s="10"/>
    </row>
    <row r="38" spans="1:8" ht="15.75" customHeight="1">
      <c r="A38" s="10" t="s">
        <v>257</v>
      </c>
      <c r="B38" s="10"/>
      <c r="C38" s="10"/>
      <c r="D38" s="14"/>
      <c r="E38" s="14"/>
      <c r="F38" s="14"/>
      <c r="G38" s="10"/>
    </row>
    <row r="39" spans="1:8" ht="15.75" customHeight="1">
      <c r="A39" s="10" t="s">
        <v>259</v>
      </c>
      <c r="B39" s="10"/>
      <c r="C39" s="10"/>
      <c r="D39" s="14"/>
      <c r="E39" s="14"/>
      <c r="F39" s="14"/>
      <c r="G39" s="10"/>
    </row>
    <row r="40" spans="1:8" ht="15.75" customHeight="1">
      <c r="A40" s="10" t="s">
        <v>261</v>
      </c>
      <c r="B40" s="10"/>
      <c r="C40" s="10"/>
      <c r="D40" s="14"/>
      <c r="E40" s="14"/>
      <c r="F40" s="14"/>
      <c r="G40" s="10"/>
    </row>
    <row r="41" spans="1:8" ht="15.75" customHeight="1">
      <c r="A41" s="10" t="s">
        <v>263</v>
      </c>
      <c r="B41" s="10"/>
      <c r="C41" s="10"/>
      <c r="D41" s="14"/>
      <c r="E41" s="14"/>
      <c r="F41" s="14"/>
      <c r="G41" s="10"/>
    </row>
    <row r="42" spans="1:8" ht="15.75" customHeight="1">
      <c r="A42" s="10" t="s">
        <v>264</v>
      </c>
      <c r="B42" s="10"/>
      <c r="C42" s="10"/>
      <c r="D42" s="14">
        <f t="shared" ref="D42:E42" si="24">B42/SQRT(8*LOG(2,EXP(1)))</f>
        <v>0</v>
      </c>
      <c r="E42" s="14">
        <f t="shared" si="24"/>
        <v>0</v>
      </c>
      <c r="F42" s="14">
        <f t="shared" ref="F42:F53" si="25">D42*E42*PI()</f>
        <v>0</v>
      </c>
      <c r="G42" s="10"/>
      <c r="H42" s="7"/>
    </row>
    <row r="43" spans="1:8" ht="15.75" customHeight="1">
      <c r="A43" s="10" t="s">
        <v>432</v>
      </c>
      <c r="B43" s="10">
        <v>50</v>
      </c>
      <c r="C43" s="10">
        <v>20</v>
      </c>
      <c r="D43" s="14">
        <f t="shared" ref="D43:E43" si="26">B43/SQRT(8*LOG(2,EXP(1)))</f>
        <v>21.233045007200477</v>
      </c>
      <c r="E43" s="14">
        <f t="shared" si="26"/>
        <v>8.4932180028801909</v>
      </c>
      <c r="F43" s="14">
        <f t="shared" si="25"/>
        <v>566.54501772839933</v>
      </c>
      <c r="G43" s="10" t="s">
        <v>266</v>
      </c>
      <c r="H43" s="7"/>
    </row>
    <row r="44" spans="1:8" ht="15.75" customHeight="1">
      <c r="A44" s="10" t="s">
        <v>431</v>
      </c>
      <c r="B44" s="10">
        <v>22</v>
      </c>
      <c r="C44" s="10">
        <v>22</v>
      </c>
      <c r="D44" s="14">
        <f t="shared" ref="D44:E44" si="27">B44/SQRT(8*LOG(2,EXP(1)))</f>
        <v>9.3425398031682096</v>
      </c>
      <c r="E44" s="14">
        <f t="shared" si="27"/>
        <v>9.3425398031682096</v>
      </c>
      <c r="F44" s="14">
        <f t="shared" si="25"/>
        <v>274.20778858054518</v>
      </c>
      <c r="G44" s="10" t="s">
        <v>268</v>
      </c>
      <c r="H44" s="7"/>
    </row>
    <row r="45" spans="1:8" ht="14.4">
      <c r="A45" s="10" t="s">
        <v>337</v>
      </c>
      <c r="B45" s="10">
        <v>56.9</v>
      </c>
      <c r="C45" s="10">
        <v>35.9</v>
      </c>
      <c r="D45" s="14">
        <f t="shared" ref="D45:E45" si="28">B45/SQRT(8*LOG(2,EXP(1)))</f>
        <v>24.163205218194143</v>
      </c>
      <c r="E45" s="14">
        <f t="shared" si="28"/>
        <v>15.245326315169942</v>
      </c>
      <c r="F45" s="14">
        <f t="shared" si="25"/>
        <v>1157.2871731639784</v>
      </c>
      <c r="G45" s="11" t="s">
        <v>338</v>
      </c>
      <c r="H45" s="7"/>
    </row>
    <row r="46" spans="1:8" ht="14.4">
      <c r="A46" s="10" t="s">
        <v>273</v>
      </c>
      <c r="B46" s="14">
        <v>47.2</v>
      </c>
      <c r="C46" s="14">
        <v>56.9</v>
      </c>
      <c r="D46" s="14">
        <f t="shared" ref="D46:E46" si="29">B46/SQRT(8*LOG(2,EXP(1)))</f>
        <v>20.043994486797253</v>
      </c>
      <c r="E46" s="14">
        <f t="shared" si="29"/>
        <v>24.163205218194143</v>
      </c>
      <c r="F46" s="14">
        <f t="shared" si="25"/>
        <v>1521.5586232128076</v>
      </c>
      <c r="G46" s="11" t="s">
        <v>338</v>
      </c>
      <c r="H46" s="7"/>
    </row>
    <row r="47" spans="1:8" ht="14.4">
      <c r="A47" s="10" t="s">
        <v>339</v>
      </c>
      <c r="B47" s="10">
        <v>65</v>
      </c>
      <c r="C47" s="10">
        <v>86</v>
      </c>
      <c r="D47" s="14">
        <f t="shared" ref="D47:E47" si="30">B47/SQRT(8*LOG(2,EXP(1)))</f>
        <v>27.602958509360619</v>
      </c>
      <c r="E47" s="14">
        <f t="shared" si="30"/>
        <v>36.520837412384822</v>
      </c>
      <c r="F47" s="14">
        <f t="shared" si="25"/>
        <v>3166.9866491017519</v>
      </c>
      <c r="G47" s="10" t="s">
        <v>340</v>
      </c>
      <c r="H47" s="7"/>
    </row>
    <row r="48" spans="1:8" ht="14.4">
      <c r="A48" s="10" t="s">
        <v>341</v>
      </c>
      <c r="B48" s="10">
        <v>65</v>
      </c>
      <c r="C48" s="10">
        <v>86</v>
      </c>
      <c r="D48" s="14">
        <f t="shared" ref="D48:E48" si="31">B48/SQRT(8*LOG(2,EXP(1)))</f>
        <v>27.602958509360619</v>
      </c>
      <c r="E48" s="14">
        <f t="shared" si="31"/>
        <v>36.520837412384822</v>
      </c>
      <c r="F48" s="14">
        <f t="shared" si="25"/>
        <v>3166.9866491017519</v>
      </c>
      <c r="G48" s="10" t="s">
        <v>340</v>
      </c>
      <c r="H48" s="7"/>
    </row>
    <row r="49" spans="1:8" ht="14.4">
      <c r="A49" s="10" t="s">
        <v>339</v>
      </c>
      <c r="B49" s="10">
        <v>41.5</v>
      </c>
      <c r="C49" s="10">
        <v>19</v>
      </c>
      <c r="D49" s="14">
        <f t="shared" ref="D49:E49" si="32">B49/SQRT(8*LOG(2,EXP(1)))</f>
        <v>17.623427355976396</v>
      </c>
      <c r="E49" s="14">
        <f t="shared" si="32"/>
        <v>8.0685571027361807</v>
      </c>
      <c r="F49" s="14">
        <f t="shared" si="25"/>
        <v>446.72074647884278</v>
      </c>
      <c r="G49" s="10" t="s">
        <v>342</v>
      </c>
      <c r="H49" s="7"/>
    </row>
    <row r="50" spans="1:8" ht="14.4">
      <c r="A50" s="10" t="s">
        <v>341</v>
      </c>
      <c r="B50" s="10">
        <v>35.6</v>
      </c>
      <c r="C50" s="10">
        <v>25.4</v>
      </c>
      <c r="D50" s="14">
        <f t="shared" ref="D50:E50" si="33">B50/SQRT(8*LOG(2,EXP(1)))</f>
        <v>15.117928045126741</v>
      </c>
      <c r="E50" s="14">
        <f t="shared" si="33"/>
        <v>10.786386863657841</v>
      </c>
      <c r="F50" s="14">
        <f t="shared" si="25"/>
        <v>512.29266683072774</v>
      </c>
      <c r="G50" s="10" t="s">
        <v>343</v>
      </c>
      <c r="H50" s="7"/>
    </row>
    <row r="51" spans="1:8" ht="14.4">
      <c r="A51" s="10" t="s">
        <v>344</v>
      </c>
      <c r="B51" s="10">
        <v>33.9</v>
      </c>
      <c r="C51" s="10">
        <v>19.5</v>
      </c>
      <c r="D51" s="14">
        <f t="shared" ref="D51:E51" si="34">B51/SQRT(8*LOG(2,EXP(1)))</f>
        <v>14.396004514881923</v>
      </c>
      <c r="E51" s="14">
        <f t="shared" si="34"/>
        <v>8.2808875528081867</v>
      </c>
      <c r="F51" s="14">
        <f t="shared" si="25"/>
        <v>374.51458396935834</v>
      </c>
      <c r="G51" s="10" t="s">
        <v>345</v>
      </c>
      <c r="H51" s="7"/>
    </row>
    <row r="52" spans="1:8" ht="14.4">
      <c r="A52" s="10" t="s">
        <v>346</v>
      </c>
      <c r="B52" s="14">
        <v>30</v>
      </c>
      <c r="C52" s="14">
        <v>59</v>
      </c>
      <c r="D52" s="14">
        <f t="shared" ref="D52:E52" si="35">B52/SQRT(8*LOG(2,EXP(1)))</f>
        <v>12.739827004320286</v>
      </c>
      <c r="E52" s="14">
        <f t="shared" si="35"/>
        <v>25.054993108496561</v>
      </c>
      <c r="F52" s="14">
        <f t="shared" si="25"/>
        <v>1002.7846813792665</v>
      </c>
      <c r="G52" s="11" t="s">
        <v>347</v>
      </c>
      <c r="H52" s="7"/>
    </row>
    <row r="53" spans="1:8" ht="14.4">
      <c r="A53" s="10" t="s">
        <v>344</v>
      </c>
      <c r="B53" s="14">
        <v>31</v>
      </c>
      <c r="C53" s="14">
        <v>75</v>
      </c>
      <c r="D53" s="14">
        <f t="shared" ref="D53:E53" si="36">B53/SQRT(8*LOG(2,EXP(1)))</f>
        <v>13.164487904464295</v>
      </c>
      <c r="E53" s="14">
        <f t="shared" si="36"/>
        <v>31.849567510800714</v>
      </c>
      <c r="F53" s="14">
        <f t="shared" si="25"/>
        <v>1317.2171662185283</v>
      </c>
      <c r="G53" s="11" t="s">
        <v>348</v>
      </c>
      <c r="H53" s="7"/>
    </row>
    <row r="54" spans="1:8" ht="14.4">
      <c r="A54" s="10" t="s">
        <v>277</v>
      </c>
      <c r="B54" s="10"/>
      <c r="C54" s="10"/>
      <c r="D54" s="14"/>
      <c r="E54" s="14"/>
      <c r="F54" s="14"/>
      <c r="G54" s="10"/>
      <c r="H54" s="7"/>
    </row>
    <row r="55" spans="1:8" ht="14.4">
      <c r="A55" s="10" t="s">
        <v>278</v>
      </c>
      <c r="B55" s="10">
        <v>80</v>
      </c>
      <c r="C55" s="10">
        <v>0</v>
      </c>
      <c r="D55" s="14">
        <f t="shared" ref="D55:E55" si="37">B55/SQRT(8*LOG(2,EXP(1)))</f>
        <v>33.972872011520764</v>
      </c>
      <c r="E55" s="14">
        <f t="shared" si="37"/>
        <v>0</v>
      </c>
      <c r="F55" s="14">
        <f>D55*E55*PI()</f>
        <v>0</v>
      </c>
      <c r="G55" s="10" t="s">
        <v>279</v>
      </c>
      <c r="H55" s="7"/>
    </row>
    <row r="56" spans="1:8" ht="14.4">
      <c r="A56" s="10" t="s">
        <v>280</v>
      </c>
      <c r="B56" s="10"/>
      <c r="C56" s="10"/>
      <c r="D56" s="14"/>
      <c r="E56" s="14"/>
      <c r="F56" s="14"/>
      <c r="G56" s="10"/>
      <c r="H56" s="7"/>
    </row>
    <row r="57" spans="1:8" ht="14.4">
      <c r="A57" s="10" t="s">
        <v>282</v>
      </c>
      <c r="B57" s="10"/>
      <c r="C57" s="10"/>
      <c r="D57" s="14"/>
      <c r="E57" s="14"/>
      <c r="F57" s="14"/>
      <c r="G57" s="10"/>
      <c r="H57" s="7"/>
    </row>
    <row r="58" spans="1:8" ht="14.4">
      <c r="A58" s="10" t="s">
        <v>269</v>
      </c>
      <c r="B58" s="10"/>
      <c r="C58" s="10"/>
      <c r="D58" s="14"/>
      <c r="E58" s="14"/>
      <c r="F58" s="14"/>
      <c r="G58" s="10"/>
      <c r="H58" s="7"/>
    </row>
    <row r="59" spans="1:8" ht="14.4">
      <c r="A59" s="10" t="s">
        <v>275</v>
      </c>
      <c r="B59" s="10"/>
      <c r="C59" s="10"/>
      <c r="D59" s="14"/>
      <c r="E59" s="14"/>
      <c r="F59" s="14"/>
      <c r="G59" s="10"/>
      <c r="H59" s="7"/>
    </row>
    <row r="60" spans="1:8" ht="14.4">
      <c r="A60" s="10" t="s">
        <v>285</v>
      </c>
      <c r="B60" s="10"/>
      <c r="C60" s="10"/>
      <c r="D60" s="14"/>
      <c r="E60" s="14"/>
      <c r="F60" s="14"/>
      <c r="G60" s="10"/>
      <c r="H60" s="7"/>
    </row>
    <row r="61" spans="1:8" ht="14.4">
      <c r="A61" s="10" t="s">
        <v>287</v>
      </c>
      <c r="B61" s="10"/>
      <c r="C61" s="10"/>
      <c r="D61" s="14"/>
      <c r="E61" s="14"/>
      <c r="F61" s="14"/>
      <c r="G61" s="10"/>
    </row>
    <row r="62" spans="1:8" ht="14.4">
      <c r="A62" s="10" t="s">
        <v>289</v>
      </c>
      <c r="B62" s="10"/>
      <c r="C62" s="10"/>
      <c r="D62" s="14"/>
      <c r="E62" s="14"/>
      <c r="F62" s="14"/>
      <c r="G62" s="10"/>
    </row>
    <row r="63" spans="1:8" ht="14.4">
      <c r="A63" s="10" t="s">
        <v>290</v>
      </c>
      <c r="B63" s="10"/>
      <c r="C63" s="10"/>
      <c r="D63" s="14"/>
      <c r="E63" s="14"/>
      <c r="F63" s="14"/>
      <c r="G63" s="10"/>
    </row>
    <row r="64" spans="1:8" ht="14.4">
      <c r="A64" s="10" t="s">
        <v>292</v>
      </c>
      <c r="B64" s="10"/>
      <c r="C64" s="10"/>
      <c r="D64" s="14"/>
      <c r="E64" s="14"/>
      <c r="F64" s="14"/>
      <c r="G64" s="10"/>
    </row>
    <row r="65" spans="1:7" ht="14.4">
      <c r="A65" s="10" t="s">
        <v>293</v>
      </c>
      <c r="B65" s="10"/>
      <c r="C65" s="10"/>
      <c r="D65" s="14"/>
      <c r="E65" s="14"/>
      <c r="F65" s="14"/>
      <c r="G65" s="10"/>
    </row>
    <row r="66" spans="1:7" ht="14.4">
      <c r="A66" s="10" t="s">
        <v>294</v>
      </c>
      <c r="B66" s="10"/>
      <c r="C66" s="10"/>
      <c r="D66" s="14"/>
      <c r="E66" s="14"/>
      <c r="F66" s="14"/>
      <c r="G66" s="10"/>
    </row>
    <row r="67" spans="1:7" ht="14.4">
      <c r="A67" s="10" t="s">
        <v>296</v>
      </c>
      <c r="B67" s="10"/>
      <c r="C67" s="10"/>
      <c r="D67" s="14"/>
      <c r="E67" s="14"/>
      <c r="F67" s="14"/>
      <c r="G67" s="10"/>
    </row>
    <row r="68" spans="1:7" ht="14.4">
      <c r="A68" s="10" t="s">
        <v>297</v>
      </c>
      <c r="B68" s="10"/>
      <c r="C68" s="10"/>
      <c r="D68" s="14"/>
      <c r="E68" s="14"/>
      <c r="F68" s="14"/>
      <c r="G68" s="10"/>
    </row>
    <row r="69" spans="1:7" ht="14.4">
      <c r="A69" s="10" t="s">
        <v>437</v>
      </c>
      <c r="B69" s="10"/>
      <c r="C69" s="10"/>
      <c r="D69" s="14"/>
      <c r="E69" s="14"/>
      <c r="F69" s="14"/>
      <c r="G69" s="10"/>
    </row>
    <row r="70" spans="1:7" ht="15.75" customHeight="1">
      <c r="A70" s="10" t="s">
        <v>172</v>
      </c>
      <c r="B70" s="10"/>
      <c r="C70" s="10"/>
      <c r="D70" s="14"/>
      <c r="E70" s="14"/>
      <c r="F70" s="14"/>
      <c r="G70" s="10"/>
    </row>
    <row r="71" spans="1:7" ht="15.75" customHeight="1">
      <c r="A71" s="10" t="s">
        <v>164</v>
      </c>
      <c r="B71" s="10">
        <v>133</v>
      </c>
      <c r="C71" s="10">
        <v>72</v>
      </c>
      <c r="D71" s="14">
        <f t="shared" ref="D71:E71" si="38">B71/SQRT(8*LOG(2,EXP(1)))</f>
        <v>56.479899719153266</v>
      </c>
      <c r="E71" s="14">
        <f t="shared" si="38"/>
        <v>30.575584810368685</v>
      </c>
      <c r="F71" s="14">
        <f>D71*E71*PI()</f>
        <v>5425.2350897671504</v>
      </c>
      <c r="G71" s="10" t="s">
        <v>301</v>
      </c>
    </row>
    <row r="72" spans="1:7" ht="15.75" customHeight="1">
      <c r="A72" s="10" t="s">
        <v>302</v>
      </c>
      <c r="B72" s="10"/>
      <c r="C72" s="10"/>
      <c r="D72" s="14"/>
      <c r="E72" s="14"/>
      <c r="F72" s="14"/>
      <c r="G72" s="10"/>
    </row>
    <row r="73" spans="1:7" ht="15.75" customHeight="1">
      <c r="A73" s="10" t="s">
        <v>304</v>
      </c>
      <c r="B73" s="10"/>
      <c r="C73" s="10"/>
      <c r="D73" s="14"/>
      <c r="E73" s="14"/>
      <c r="F73" s="14"/>
      <c r="G73" s="10"/>
    </row>
    <row r="74" spans="1:7" ht="15.75" customHeight="1">
      <c r="A74" s="10" t="s">
        <v>305</v>
      </c>
      <c r="B74" s="10"/>
      <c r="C74" s="10"/>
      <c r="D74" s="14"/>
      <c r="E74" s="14"/>
      <c r="F74" s="14"/>
      <c r="G74" s="10"/>
    </row>
    <row r="75" spans="1:7" ht="15.75" customHeight="1">
      <c r="A75" s="10" t="s">
        <v>307</v>
      </c>
      <c r="B75" s="10"/>
      <c r="C75" s="10"/>
      <c r="D75" s="14"/>
      <c r="E75" s="14"/>
      <c r="F75" s="14"/>
      <c r="G75" s="10"/>
    </row>
    <row r="76" spans="1:7" ht="15.75" customHeight="1">
      <c r="A76" s="10" t="s">
        <v>309</v>
      </c>
      <c r="B76" s="10"/>
      <c r="C76" s="10"/>
      <c r="D76" s="14"/>
      <c r="E76" s="14"/>
      <c r="F76" s="14"/>
      <c r="G76" s="10"/>
    </row>
    <row r="77" spans="1:7" ht="15.75" customHeight="1">
      <c r="A77" s="10" t="s">
        <v>310</v>
      </c>
      <c r="B77" s="10"/>
      <c r="C77" s="10"/>
      <c r="D77" s="14"/>
      <c r="E77" s="14"/>
      <c r="F77" s="14"/>
      <c r="G77" s="10"/>
    </row>
    <row r="78" spans="1:7" ht="15.75" customHeight="1">
      <c r="A78" s="10" t="s">
        <v>312</v>
      </c>
      <c r="B78" s="10"/>
      <c r="C78" s="10"/>
      <c r="D78" s="14"/>
      <c r="E78" s="14"/>
      <c r="F78" s="14"/>
      <c r="G78" s="10"/>
    </row>
    <row r="79" spans="1:7" ht="15.75" customHeight="1">
      <c r="A79" s="10" t="s">
        <v>314</v>
      </c>
      <c r="B79" s="10"/>
      <c r="C79" s="10"/>
      <c r="D79" s="14"/>
      <c r="E79" s="14"/>
      <c r="F79" s="14"/>
      <c r="G79" s="10"/>
    </row>
    <row r="80" spans="1:7" ht="15.75" customHeight="1">
      <c r="A80" s="10" t="s">
        <v>223</v>
      </c>
      <c r="B80" s="10"/>
      <c r="C80" s="10"/>
      <c r="D80" s="14"/>
      <c r="E80" s="14"/>
      <c r="F80" s="14"/>
      <c r="G80" s="10"/>
    </row>
    <row r="81" spans="1:7" ht="15.75" customHeight="1">
      <c r="A81" s="10" t="s">
        <v>315</v>
      </c>
      <c r="B81" s="10"/>
      <c r="C81" s="10"/>
      <c r="D81" s="14"/>
      <c r="E81" s="14"/>
      <c r="F81" s="14"/>
      <c r="G81" s="10"/>
    </row>
    <row r="82" spans="1:7" ht="15.75" customHeight="1">
      <c r="A82" s="10" t="s">
        <v>316</v>
      </c>
      <c r="B82" s="10"/>
      <c r="C82" s="10"/>
      <c r="D82" s="14"/>
      <c r="E82" s="14"/>
      <c r="F82" s="14"/>
      <c r="G82" s="10"/>
    </row>
    <row r="83" spans="1:7" ht="15.75" customHeight="1">
      <c r="A83" s="10" t="s">
        <v>317</v>
      </c>
      <c r="B83" s="10"/>
      <c r="C83" s="10"/>
      <c r="D83" s="14"/>
      <c r="E83" s="14"/>
      <c r="F83" s="14"/>
      <c r="G83" s="10"/>
    </row>
    <row r="84" spans="1:7" ht="15.75" customHeight="1">
      <c r="A84" s="10" t="s">
        <v>318</v>
      </c>
      <c r="B84" s="10"/>
      <c r="C84" s="10"/>
      <c r="D84" s="14"/>
      <c r="E84" s="14"/>
      <c r="F84" s="14"/>
      <c r="G84" s="10"/>
    </row>
    <row r="85" spans="1:7" ht="15.75" customHeight="1">
      <c r="A85" s="10" t="s">
        <v>319</v>
      </c>
      <c r="B85" s="10"/>
      <c r="C85" s="10"/>
      <c r="D85" s="14"/>
      <c r="E85" s="14"/>
      <c r="F85" s="14"/>
      <c r="G85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5CF2-60BD-4AF1-A766-53253EE5489B}">
  <dimension ref="A1:K44"/>
  <sheetViews>
    <sheetView topLeftCell="A14" workbookViewId="0">
      <selection activeCell="G13" sqref="G13"/>
    </sheetView>
  </sheetViews>
  <sheetFormatPr defaultRowHeight="13.2"/>
  <sheetData>
    <row r="1" spans="1:11" s="20" customFormat="1" ht="14.4">
      <c r="A1" s="9" t="s">
        <v>2</v>
      </c>
      <c r="B1" s="13" t="s">
        <v>328</v>
      </c>
      <c r="C1" s="13" t="s">
        <v>329</v>
      </c>
      <c r="D1" s="13" t="s">
        <v>330</v>
      </c>
      <c r="E1" s="13" t="s">
        <v>331</v>
      </c>
      <c r="F1" s="20" t="s">
        <v>425</v>
      </c>
      <c r="G1" s="20" t="s">
        <v>426</v>
      </c>
      <c r="H1" s="20" t="s">
        <v>427</v>
      </c>
      <c r="I1" s="20" t="s">
        <v>428</v>
      </c>
      <c r="J1" s="20" t="s">
        <v>429</v>
      </c>
      <c r="K1" s="20" t="s">
        <v>430</v>
      </c>
    </row>
    <row r="2" spans="1:11">
      <c r="A2" t="s">
        <v>412</v>
      </c>
      <c r="B2">
        <v>8.0988655040000008</v>
      </c>
      <c r="C2">
        <v>7.2372552790000002</v>
      </c>
      <c r="D2">
        <v>3.4392715150000002</v>
      </c>
      <c r="E2">
        <v>3.0733793409999999</v>
      </c>
      <c r="F2">
        <v>6.4314360339999999</v>
      </c>
      <c r="G2">
        <v>0.47060539699999998</v>
      </c>
      <c r="H2">
        <v>8.7283406620000008</v>
      </c>
      <c r="I2">
        <v>0.43438434599999998</v>
      </c>
      <c r="J2">
        <v>33.207218760000003</v>
      </c>
      <c r="K2">
        <v>176.35570580000001</v>
      </c>
    </row>
    <row r="3" spans="1:11">
      <c r="A3" t="s">
        <v>419</v>
      </c>
      <c r="B3">
        <v>7.1352308740000003</v>
      </c>
      <c r="C3">
        <v>7.1023775709999999</v>
      </c>
      <c r="D3">
        <v>3.0300535659999999</v>
      </c>
      <c r="E3">
        <v>3.0161020519999999</v>
      </c>
      <c r="F3">
        <v>6.124862469</v>
      </c>
      <c r="G3">
        <v>0.42488237400000001</v>
      </c>
      <c r="H3">
        <v>9.0776947939999992</v>
      </c>
      <c r="I3">
        <v>0.70816514200000003</v>
      </c>
      <c r="J3">
        <v>28.710860629999999</v>
      </c>
      <c r="K3">
        <v>174.67139589999999</v>
      </c>
    </row>
    <row r="4" spans="1:11">
      <c r="A4" t="s">
        <v>411</v>
      </c>
      <c r="B4">
        <v>7.7406187979999999</v>
      </c>
      <c r="C4">
        <v>5.3307995190000002</v>
      </c>
      <c r="D4">
        <v>3.2871381460000002</v>
      </c>
      <c r="E4">
        <v>2.2637821219999998</v>
      </c>
      <c r="F4">
        <v>7.4050110739999999</v>
      </c>
      <c r="G4">
        <v>0.54908437700000001</v>
      </c>
      <c r="H4">
        <v>11.35352348</v>
      </c>
      <c r="I4">
        <v>0.29903750400000001</v>
      </c>
      <c r="J4">
        <v>23.377736259999999</v>
      </c>
      <c r="K4">
        <v>264.1230157</v>
      </c>
    </row>
    <row r="5" spans="1:11">
      <c r="A5" t="s">
        <v>407</v>
      </c>
      <c r="B5">
        <v>11.98682951</v>
      </c>
      <c r="C5">
        <v>7.0817399940000003</v>
      </c>
      <c r="D5">
        <v>5.0903378110000004</v>
      </c>
      <c r="E5">
        <v>3.0073380799999998</v>
      </c>
      <c r="F5">
        <v>7.1469808930000003</v>
      </c>
      <c r="G5">
        <v>0.929695889</v>
      </c>
      <c r="H5">
        <v>9.4558882099999995</v>
      </c>
      <c r="I5">
        <v>1.535238844</v>
      </c>
      <c r="J5">
        <v>48.092652489999999</v>
      </c>
      <c r="K5">
        <v>212.3121376</v>
      </c>
    </row>
    <row r="6" spans="1:11">
      <c r="A6" t="s">
        <v>394</v>
      </c>
      <c r="B6">
        <v>8.8314065209999999</v>
      </c>
      <c r="C6">
        <v>7.6119916559999998</v>
      </c>
      <c r="D6">
        <v>3.7503530430000001</v>
      </c>
      <c r="E6">
        <v>3.2325152290000001</v>
      </c>
      <c r="F6">
        <v>6.8529999369999999</v>
      </c>
      <c r="G6">
        <v>0.45829697200000002</v>
      </c>
      <c r="H6">
        <v>10.321523450000001</v>
      </c>
      <c r="I6">
        <v>0.19173285900000001</v>
      </c>
      <c r="J6">
        <v>38.085758089999999</v>
      </c>
      <c r="K6">
        <v>222.21552829999999</v>
      </c>
    </row>
    <row r="7" spans="1:11">
      <c r="A7" t="s">
        <v>418</v>
      </c>
      <c r="B7">
        <v>7.2030073860000003</v>
      </c>
      <c r="C7">
        <v>7.0780690020000003</v>
      </c>
      <c r="D7">
        <v>3.0588356000000001</v>
      </c>
      <c r="E7">
        <v>3.0057791539999998</v>
      </c>
      <c r="F7">
        <v>6.0531901389999998</v>
      </c>
      <c r="G7">
        <v>1.118395158</v>
      </c>
      <c r="H7">
        <v>12.819498019999999</v>
      </c>
      <c r="I7">
        <v>1.7070096809999999</v>
      </c>
      <c r="J7">
        <v>28.8843818</v>
      </c>
      <c r="K7">
        <v>243.78400540000001</v>
      </c>
    </row>
    <row r="8" spans="1:11">
      <c r="A8" t="s">
        <v>402</v>
      </c>
      <c r="B8">
        <v>10.953347340000001</v>
      </c>
      <c r="C8">
        <v>7.6961824249999999</v>
      </c>
      <c r="D8">
        <v>4.6514583399999996</v>
      </c>
      <c r="E8">
        <v>3.2682677560000002</v>
      </c>
      <c r="F8">
        <v>6.1937999870000002</v>
      </c>
      <c r="G8">
        <v>0.46471418799999997</v>
      </c>
      <c r="H8">
        <v>9.7776876060000006</v>
      </c>
      <c r="I8">
        <v>0.61668225600000004</v>
      </c>
      <c r="J8">
        <v>47.759155370000002</v>
      </c>
      <c r="K8">
        <v>190.25812260000001</v>
      </c>
    </row>
    <row r="9" spans="1:11">
      <c r="A9" t="s">
        <v>396</v>
      </c>
      <c r="B9">
        <v>10.08196867</v>
      </c>
      <c r="C9">
        <v>6.8479848189999997</v>
      </c>
      <c r="D9">
        <v>4.2814178930000004</v>
      </c>
      <c r="E9">
        <v>2.9080713970000001</v>
      </c>
      <c r="F9">
        <v>6.4973758630000003</v>
      </c>
      <c r="G9">
        <v>0.42762027600000002</v>
      </c>
      <c r="H9">
        <v>11.780849010000001</v>
      </c>
      <c r="I9">
        <v>0.74547528299999999</v>
      </c>
      <c r="J9">
        <v>39.11492999</v>
      </c>
      <c r="K9">
        <v>240.4719656</v>
      </c>
    </row>
    <row r="10" spans="1:11">
      <c r="A10" t="s">
        <v>408</v>
      </c>
      <c r="B10">
        <v>9.9859246499999994</v>
      </c>
      <c r="C10">
        <v>9.9588919909999998</v>
      </c>
      <c r="D10">
        <v>4.2406317509999996</v>
      </c>
      <c r="E10">
        <v>4.2291520370000004</v>
      </c>
      <c r="F10">
        <v>6.1708587049999997</v>
      </c>
      <c r="G10">
        <v>0.85619785299999995</v>
      </c>
      <c r="H10">
        <v>8.5066257519999997</v>
      </c>
      <c r="I10">
        <v>0.96927351100000003</v>
      </c>
      <c r="J10">
        <v>56.342191010000001</v>
      </c>
      <c r="K10">
        <v>164.91220620000001</v>
      </c>
    </row>
    <row r="11" spans="1:11">
      <c r="A11" t="s">
        <v>374</v>
      </c>
      <c r="B11">
        <v>7.8584429489999996</v>
      </c>
      <c r="C11">
        <v>7.1333706570000004</v>
      </c>
      <c r="D11">
        <v>3.3371734559999999</v>
      </c>
      <c r="E11">
        <v>3.0292636040000001</v>
      </c>
      <c r="F11">
        <v>5.5258248119999998</v>
      </c>
      <c r="G11">
        <v>0.33586849099999999</v>
      </c>
      <c r="H11">
        <v>9.0341577700000002</v>
      </c>
      <c r="I11">
        <v>0.51960411200000001</v>
      </c>
      <c r="J11">
        <v>31.758919630000001</v>
      </c>
      <c r="K11">
        <v>156.83199089999999</v>
      </c>
    </row>
    <row r="12" spans="1:11">
      <c r="A12" t="s">
        <v>375</v>
      </c>
      <c r="B12">
        <v>8.5423683090000004</v>
      </c>
      <c r="C12">
        <v>7.5238998190000004</v>
      </c>
      <c r="D12">
        <v>3.6276098160000001</v>
      </c>
      <c r="E12">
        <v>3.19510607</v>
      </c>
      <c r="F12">
        <v>6.4749966920000004</v>
      </c>
      <c r="G12">
        <v>0.55080135799999996</v>
      </c>
      <c r="H12">
        <v>9.4989280770000004</v>
      </c>
      <c r="I12">
        <v>1.157820708</v>
      </c>
      <c r="J12">
        <v>36.412937970000002</v>
      </c>
      <c r="K12">
        <v>193.2253145</v>
      </c>
    </row>
    <row r="13" spans="1:11">
      <c r="A13" t="s">
        <v>377</v>
      </c>
      <c r="B13">
        <v>7.0674981089999998</v>
      </c>
      <c r="C13">
        <v>8.6352038259999997</v>
      </c>
      <c r="D13">
        <v>3.0012901090000002</v>
      </c>
      <c r="E13">
        <v>3.667033429</v>
      </c>
      <c r="F13">
        <v>5.0364060630000003</v>
      </c>
      <c r="G13">
        <v>0.71550872399999998</v>
      </c>
      <c r="H13">
        <v>8.5629638700000008</v>
      </c>
      <c r="I13">
        <v>1.241698738</v>
      </c>
      <c r="J13">
        <v>34.575838320000003</v>
      </c>
      <c r="K13">
        <v>135.48609400000001</v>
      </c>
    </row>
    <row r="14" spans="1:11">
      <c r="A14" t="s">
        <v>378</v>
      </c>
      <c r="B14">
        <v>8.7534734249999993</v>
      </c>
      <c r="C14">
        <v>8.6502792950000007</v>
      </c>
      <c r="D14">
        <v>3.7172579039999998</v>
      </c>
      <c r="E14">
        <v>3.673435392</v>
      </c>
      <c r="F14">
        <v>5.8998994060000003</v>
      </c>
      <c r="G14">
        <v>1.2440354870000001</v>
      </c>
      <c r="H14">
        <v>10.01686774</v>
      </c>
      <c r="I14">
        <v>1.467436306</v>
      </c>
      <c r="J14">
        <v>42.898783039999998</v>
      </c>
      <c r="K14">
        <v>185.6634512</v>
      </c>
    </row>
    <row r="15" spans="1:11">
      <c r="A15" t="s">
        <v>366</v>
      </c>
      <c r="B15">
        <v>8.0662639420000009</v>
      </c>
      <c r="C15">
        <v>6.9199006299999999</v>
      </c>
      <c r="D15">
        <v>3.4254269060000002</v>
      </c>
      <c r="E15">
        <v>2.9386112309999999</v>
      </c>
      <c r="F15">
        <v>7.0293068539999997</v>
      </c>
      <c r="G15">
        <v>0.41569088500000001</v>
      </c>
      <c r="H15">
        <v>11.60295408</v>
      </c>
      <c r="I15">
        <v>0.935301253</v>
      </c>
      <c r="J15">
        <v>31.623265289999999</v>
      </c>
      <c r="K15">
        <v>256.23057340000003</v>
      </c>
    </row>
    <row r="16" spans="1:11">
      <c r="A16" t="s">
        <v>397</v>
      </c>
      <c r="B16">
        <v>11.485849679999999</v>
      </c>
      <c r="C16">
        <v>13.411557070000001</v>
      </c>
      <c r="D16">
        <v>4.8775912630000002</v>
      </c>
      <c r="E16">
        <v>5.695363897</v>
      </c>
      <c r="F16">
        <v>8.0910402250000004</v>
      </c>
      <c r="G16">
        <v>0.82821143500000005</v>
      </c>
      <c r="H16">
        <v>13.019116800000001</v>
      </c>
      <c r="I16">
        <v>1.8619607199999999</v>
      </c>
      <c r="J16">
        <v>87.272366930000004</v>
      </c>
      <c r="K16">
        <v>330.92970810000003</v>
      </c>
    </row>
    <row r="17" spans="1:11">
      <c r="A17" t="s">
        <v>416</v>
      </c>
      <c r="B17">
        <v>6.3350416689999998</v>
      </c>
      <c r="C17">
        <v>5.0703381030000001</v>
      </c>
      <c r="D17">
        <v>2.6902444980000002</v>
      </c>
      <c r="E17">
        <v>2.1531743429999999</v>
      </c>
      <c r="F17">
        <v>5.1808927899999997</v>
      </c>
      <c r="G17">
        <v>0.94018823299999998</v>
      </c>
      <c r="H17">
        <v>8.4812553659999992</v>
      </c>
      <c r="I17">
        <v>1.9919262289999999</v>
      </c>
      <c r="J17">
        <v>18.197880999999999</v>
      </c>
      <c r="K17">
        <v>138.0430728</v>
      </c>
    </row>
    <row r="18" spans="1:11">
      <c r="A18" t="s">
        <v>393</v>
      </c>
      <c r="B18">
        <v>9.4145104330000002</v>
      </c>
      <c r="C18">
        <v>7.6270329339999998</v>
      </c>
      <c r="D18">
        <v>3.9979744749999999</v>
      </c>
      <c r="E18">
        <v>3.238902671</v>
      </c>
      <c r="F18">
        <v>7.7378399419999999</v>
      </c>
      <c r="G18">
        <v>0.64636922699999999</v>
      </c>
      <c r="H18">
        <v>13.2450735</v>
      </c>
      <c r="I18">
        <v>0.94364292999999999</v>
      </c>
      <c r="J18">
        <v>40.680641000000001</v>
      </c>
      <c r="K18">
        <v>321.97636069999999</v>
      </c>
    </row>
    <row r="19" spans="1:11">
      <c r="A19" t="s">
        <v>368</v>
      </c>
      <c r="B19">
        <v>7.9786824559999996</v>
      </c>
      <c r="C19">
        <v>6.7059738409999996</v>
      </c>
      <c r="D19">
        <v>3.3882344739999999</v>
      </c>
      <c r="E19">
        <v>2.8477648879999999</v>
      </c>
      <c r="F19">
        <v>5.2763121020000003</v>
      </c>
      <c r="G19">
        <v>0.48172410700000001</v>
      </c>
      <c r="H19">
        <v>9.6290951509999996</v>
      </c>
      <c r="I19">
        <v>1.014483727</v>
      </c>
      <c r="J19">
        <v>30.31289817</v>
      </c>
      <c r="K19">
        <v>159.61210589999999</v>
      </c>
    </row>
    <row r="20" spans="1:11">
      <c r="A20" t="s">
        <v>369</v>
      </c>
      <c r="B20">
        <v>8.2830978270000006</v>
      </c>
      <c r="C20">
        <v>6.525388435</v>
      </c>
      <c r="D20">
        <v>3.5175077789999998</v>
      </c>
      <c r="E20">
        <v>2.771077327</v>
      </c>
      <c r="F20">
        <v>6.234577292</v>
      </c>
      <c r="G20">
        <v>0.44792240900000002</v>
      </c>
      <c r="H20">
        <v>9.9504819349999991</v>
      </c>
      <c r="I20">
        <v>0.86948254899999999</v>
      </c>
      <c r="J20">
        <v>30.622002259999999</v>
      </c>
      <c r="K20">
        <v>194.89513650000001</v>
      </c>
    </row>
    <row r="21" spans="1:11">
      <c r="A21" t="s">
        <v>410</v>
      </c>
      <c r="B21">
        <v>10.15033715</v>
      </c>
      <c r="C21">
        <v>11.263130179999999</v>
      </c>
      <c r="D21">
        <v>4.3104513090000003</v>
      </c>
      <c r="E21">
        <v>4.7830110020000003</v>
      </c>
      <c r="F21">
        <v>7.8665491320000003</v>
      </c>
      <c r="G21">
        <v>0.34530042900000002</v>
      </c>
      <c r="H21">
        <v>11.24654973</v>
      </c>
      <c r="I21">
        <v>0.69757175299999996</v>
      </c>
      <c r="J21">
        <v>64.770014779999997</v>
      </c>
      <c r="K21">
        <v>277.94152759999997</v>
      </c>
    </row>
    <row r="22" spans="1:11">
      <c r="A22" t="s">
        <v>401</v>
      </c>
      <c r="B22">
        <v>7.6030295739999998</v>
      </c>
      <c r="C22">
        <v>9.1473237919999999</v>
      </c>
      <c r="D22">
        <v>3.228709383</v>
      </c>
      <c r="E22">
        <v>3.884510755</v>
      </c>
      <c r="F22">
        <v>5.9997634509999997</v>
      </c>
      <c r="G22">
        <v>0.29447132199999998</v>
      </c>
      <c r="H22">
        <v>9.4460977489999998</v>
      </c>
      <c r="I22">
        <v>1.405528092</v>
      </c>
      <c r="J22">
        <v>39.401717849999997</v>
      </c>
      <c r="K22">
        <v>178.04772800000001</v>
      </c>
    </row>
    <row r="23" spans="1:11">
      <c r="A23" t="s">
        <v>406</v>
      </c>
      <c r="B23">
        <v>12.68660466</v>
      </c>
      <c r="C23">
        <v>7.6685167070000002</v>
      </c>
      <c r="D23">
        <v>5.3875049559999999</v>
      </c>
      <c r="E23">
        <v>3.2565192070000002</v>
      </c>
      <c r="F23">
        <v>8.7812049109999997</v>
      </c>
      <c r="G23">
        <v>0.59184191799999997</v>
      </c>
      <c r="H23">
        <v>12.871849429999999</v>
      </c>
      <c r="I23">
        <v>0.80513420000000002</v>
      </c>
      <c r="J23">
        <v>55.117714309999997</v>
      </c>
      <c r="K23">
        <v>355.09530910000001</v>
      </c>
    </row>
    <row r="24" spans="1:11">
      <c r="A24" t="s">
        <v>417</v>
      </c>
      <c r="B24">
        <v>7.5193237550000003</v>
      </c>
      <c r="C24">
        <v>7.554835186</v>
      </c>
      <c r="D24">
        <v>3.193162794</v>
      </c>
      <c r="E24">
        <v>3.2082431100000002</v>
      </c>
      <c r="F24">
        <v>4.4044333</v>
      </c>
      <c r="G24">
        <v>0.95238515700000004</v>
      </c>
      <c r="H24">
        <v>9.0063689450000002</v>
      </c>
      <c r="I24">
        <v>1.2856970649999999</v>
      </c>
      <c r="J24">
        <v>32.183865410000003</v>
      </c>
      <c r="K24">
        <v>124.6205444</v>
      </c>
    </row>
    <row r="25" spans="1:11">
      <c r="A25" t="s">
        <v>405</v>
      </c>
      <c r="B25">
        <v>8.3766702960000003</v>
      </c>
      <c r="C25">
        <v>7.2228778230000001</v>
      </c>
      <c r="D25">
        <v>3.5572443479999998</v>
      </c>
      <c r="E25">
        <v>3.067273798</v>
      </c>
      <c r="F25">
        <v>6.3510875169999998</v>
      </c>
      <c r="G25">
        <v>0.424109085</v>
      </c>
      <c r="H25">
        <v>10.02880154</v>
      </c>
      <c r="I25">
        <v>0.42539793300000001</v>
      </c>
      <c r="J25">
        <v>34.278050589999999</v>
      </c>
      <c r="K25">
        <v>200.09996240000001</v>
      </c>
    </row>
    <row r="26" spans="1:11">
      <c r="A26" t="s">
        <v>403</v>
      </c>
      <c r="B26">
        <v>6.6653013720000001</v>
      </c>
      <c r="C26">
        <v>8.3387977329999998</v>
      </c>
      <c r="D26">
        <v>2.83049288</v>
      </c>
      <c r="E26">
        <v>3.541161351</v>
      </c>
      <c r="F26">
        <v>4.8916750120000003</v>
      </c>
      <c r="G26">
        <v>0.27226417400000003</v>
      </c>
      <c r="H26">
        <v>8.6481281939999999</v>
      </c>
      <c r="I26">
        <v>1.4115577589999999</v>
      </c>
      <c r="J26">
        <v>31.488911999999999</v>
      </c>
      <c r="K26">
        <v>132.90140969999999</v>
      </c>
    </row>
    <row r="27" spans="1:11">
      <c r="A27" t="s">
        <v>379</v>
      </c>
      <c r="B27">
        <v>8.0714972370000009</v>
      </c>
      <c r="C27">
        <v>6.2216378270000003</v>
      </c>
      <c r="D27">
        <v>3.427649282</v>
      </c>
      <c r="E27">
        <v>2.6420863200000002</v>
      </c>
      <c r="F27">
        <v>5.5960403469999997</v>
      </c>
      <c r="G27">
        <v>0.412833862</v>
      </c>
      <c r="H27">
        <v>9.3199541880000005</v>
      </c>
      <c r="I27">
        <v>1.037418438</v>
      </c>
      <c r="J27">
        <v>28.45071948</v>
      </c>
      <c r="K27">
        <v>163.8492612</v>
      </c>
    </row>
    <row r="28" spans="1:11">
      <c r="A28" t="s">
        <v>370</v>
      </c>
      <c r="B28">
        <v>8.9841429159999997</v>
      </c>
      <c r="C28">
        <v>8.3666875310000002</v>
      </c>
      <c r="D28">
        <v>3.8152142179999999</v>
      </c>
      <c r="E28">
        <v>3.5530050580000001</v>
      </c>
      <c r="F28">
        <v>7.6967735069999996</v>
      </c>
      <c r="G28">
        <v>0.72727804399999996</v>
      </c>
      <c r="H28">
        <v>11.351821149999999</v>
      </c>
      <c r="I28">
        <v>1.1164677249999999</v>
      </c>
      <c r="J28">
        <v>42.58578198</v>
      </c>
      <c r="K28">
        <v>274.48847840000002</v>
      </c>
    </row>
    <row r="29" spans="1:11">
      <c r="A29" t="s">
        <v>422</v>
      </c>
      <c r="B29">
        <v>9.0825212670000006</v>
      </c>
      <c r="C29">
        <v>7.0962809939999998</v>
      </c>
      <c r="D29">
        <v>3.856991657</v>
      </c>
      <c r="E29">
        <v>3.0135130750000001</v>
      </c>
      <c r="F29">
        <v>5.8763170000000002</v>
      </c>
      <c r="G29">
        <v>0.46051828099999997</v>
      </c>
      <c r="H29">
        <v>9.4357693380000001</v>
      </c>
      <c r="I29">
        <v>0.44282559300000002</v>
      </c>
      <c r="J29">
        <v>36.51502919</v>
      </c>
      <c r="K29">
        <v>174.19368410000001</v>
      </c>
    </row>
    <row r="30" spans="1:11">
      <c r="A30" t="s">
        <v>371</v>
      </c>
      <c r="B30">
        <v>9.8954459709999991</v>
      </c>
      <c r="C30">
        <v>8.7096307900000003</v>
      </c>
      <c r="D30">
        <v>4.2022089930000002</v>
      </c>
      <c r="E30">
        <v>3.6986396510000001</v>
      </c>
      <c r="F30">
        <v>5.589552823</v>
      </c>
      <c r="G30">
        <v>0.49966220099999997</v>
      </c>
      <c r="H30">
        <v>9.1270774679999995</v>
      </c>
      <c r="I30">
        <v>1.7189232489999999</v>
      </c>
      <c r="J30">
        <v>48.828068119999998</v>
      </c>
      <c r="K30">
        <v>160.2723756</v>
      </c>
    </row>
    <row r="31" spans="1:11">
      <c r="A31" t="s">
        <v>399</v>
      </c>
      <c r="B31">
        <v>11.228985590000001</v>
      </c>
      <c r="C31">
        <v>9.8136819580000001</v>
      </c>
      <c r="D31">
        <v>4.7685111280000001</v>
      </c>
      <c r="E31">
        <v>4.1674870139999998</v>
      </c>
      <c r="F31">
        <v>7.3776796070000001</v>
      </c>
      <c r="G31">
        <v>1.153757583</v>
      </c>
      <c r="H31">
        <v>12.960407330000001</v>
      </c>
      <c r="I31">
        <v>2.225688441</v>
      </c>
      <c r="J31">
        <v>62.431954089999998</v>
      </c>
      <c r="K31">
        <v>300.39196700000002</v>
      </c>
    </row>
    <row r="32" spans="1:11">
      <c r="A32" t="s">
        <v>413</v>
      </c>
      <c r="B32">
        <v>10.06668683</v>
      </c>
      <c r="C32">
        <v>8.6602523579999993</v>
      </c>
      <c r="D32">
        <v>4.274928289</v>
      </c>
      <c r="E32">
        <v>3.6776705619999999</v>
      </c>
      <c r="F32">
        <v>8.038039199</v>
      </c>
      <c r="G32">
        <v>0.866905437</v>
      </c>
      <c r="H32">
        <v>11.70345818</v>
      </c>
      <c r="I32">
        <v>1.2690001200000001</v>
      </c>
      <c r="J32">
        <v>49.39142202</v>
      </c>
      <c r="K32">
        <v>295.53859219999998</v>
      </c>
    </row>
    <row r="33" spans="1:11">
      <c r="A33" t="s">
        <v>367</v>
      </c>
      <c r="B33">
        <v>10.96878066</v>
      </c>
      <c r="C33">
        <v>8.0545678560000002</v>
      </c>
      <c r="D33">
        <v>4.6580122700000004</v>
      </c>
      <c r="E33">
        <v>3.4204600360000001</v>
      </c>
      <c r="F33">
        <v>7.1589931760000001</v>
      </c>
      <c r="G33">
        <v>0.19988003300000001</v>
      </c>
      <c r="H33">
        <v>10.996043719999999</v>
      </c>
      <c r="I33">
        <v>0.32099282400000001</v>
      </c>
      <c r="J33">
        <v>50.053565759999998</v>
      </c>
      <c r="K33">
        <v>247.30806480000001</v>
      </c>
    </row>
    <row r="34" spans="1:11">
      <c r="A34" t="s">
        <v>372</v>
      </c>
      <c r="B34">
        <v>11.120732629999999</v>
      </c>
      <c r="C34">
        <v>9.0530410450000005</v>
      </c>
      <c r="D34">
        <v>4.7225403269999999</v>
      </c>
      <c r="E34">
        <v>3.8444725590000002</v>
      </c>
      <c r="F34">
        <v>7.5518401519999996</v>
      </c>
      <c r="G34">
        <v>0.84835586399999996</v>
      </c>
      <c r="H34">
        <v>11.898788010000001</v>
      </c>
      <c r="I34">
        <v>0.52052800099999996</v>
      </c>
      <c r="J34">
        <v>57.037740530000001</v>
      </c>
      <c r="K34">
        <v>282.29643170000003</v>
      </c>
    </row>
    <row r="35" spans="1:11">
      <c r="A35" t="s">
        <v>415</v>
      </c>
      <c r="B35">
        <v>7.6895021139999997</v>
      </c>
      <c r="C35">
        <v>5.0736418069999996</v>
      </c>
      <c r="D35">
        <v>3.2654308890000001</v>
      </c>
      <c r="E35">
        <v>2.1545772969999999</v>
      </c>
      <c r="F35">
        <v>6.2748650870000002</v>
      </c>
      <c r="G35">
        <v>0.73706449799999996</v>
      </c>
      <c r="H35">
        <v>8.1224448299999992</v>
      </c>
      <c r="I35">
        <v>0.59936673900000004</v>
      </c>
      <c r="J35">
        <v>22.103062340000001</v>
      </c>
      <c r="K35">
        <v>160.118324</v>
      </c>
    </row>
    <row r="36" spans="1:11">
      <c r="A36" t="s">
        <v>373</v>
      </c>
      <c r="B36">
        <v>6.2911875229999996</v>
      </c>
      <c r="C36">
        <v>6.2504447870000002</v>
      </c>
      <c r="D36">
        <v>2.6716213560000002</v>
      </c>
      <c r="E36">
        <v>2.654319509</v>
      </c>
      <c r="F36">
        <v>4.9403683530000002</v>
      </c>
      <c r="G36">
        <v>0.37937048699999998</v>
      </c>
      <c r="H36">
        <v>8.2605420980000002</v>
      </c>
      <c r="I36">
        <v>0.62229884800000002</v>
      </c>
      <c r="J36">
        <v>22.278091239999998</v>
      </c>
      <c r="K36">
        <v>128.2087756</v>
      </c>
    </row>
    <row r="37" spans="1:11">
      <c r="A37" t="s">
        <v>404</v>
      </c>
      <c r="B37">
        <v>10.03932489</v>
      </c>
      <c r="C37">
        <v>9.1738695589999999</v>
      </c>
      <c r="D37">
        <v>4.2633087429999996</v>
      </c>
      <c r="E37">
        <v>3.8957837049999999</v>
      </c>
      <c r="F37">
        <v>7.3126475729999996</v>
      </c>
      <c r="G37">
        <v>0.45227723199999997</v>
      </c>
      <c r="H37">
        <v>10.77064916</v>
      </c>
      <c r="I37">
        <v>0.63414730399999997</v>
      </c>
      <c r="J37">
        <v>52.178488479999999</v>
      </c>
      <c r="K37">
        <v>247.43799949999999</v>
      </c>
    </row>
    <row r="38" spans="1:11">
      <c r="A38" t="s">
        <v>400</v>
      </c>
      <c r="B38">
        <v>10.815679149999999</v>
      </c>
      <c r="C38">
        <v>9.9701966800000008</v>
      </c>
      <c r="D38">
        <v>4.5929960440000004</v>
      </c>
      <c r="E38">
        <v>4.2339526970000003</v>
      </c>
      <c r="F38">
        <v>6.7034571969999996</v>
      </c>
      <c r="G38">
        <v>0.40390942699999999</v>
      </c>
      <c r="H38">
        <v>11.44081287</v>
      </c>
      <c r="I38">
        <v>1.347216258</v>
      </c>
      <c r="J38">
        <v>61.093069460000002</v>
      </c>
      <c r="K38">
        <v>240.93816340000001</v>
      </c>
    </row>
    <row r="39" spans="1:11">
      <c r="A39" t="s">
        <v>409</v>
      </c>
      <c r="B39">
        <v>8.1752728309999991</v>
      </c>
      <c r="C39">
        <v>8.6876324950000008</v>
      </c>
      <c r="D39">
        <v>3.4717187190000001</v>
      </c>
      <c r="E39">
        <v>3.6892978350000001</v>
      </c>
      <c r="F39">
        <v>7.1420579120000003</v>
      </c>
      <c r="G39">
        <v>1.6292830890000001</v>
      </c>
      <c r="H39">
        <v>9.8040995300000002</v>
      </c>
      <c r="I39">
        <v>2.9000666960000001</v>
      </c>
      <c r="J39">
        <v>40.238160710000002</v>
      </c>
      <c r="K39">
        <v>219.9788623</v>
      </c>
    </row>
    <row r="40" spans="1:11">
      <c r="A40" t="s">
        <v>421</v>
      </c>
      <c r="B40">
        <v>12.92259775</v>
      </c>
      <c r="C40">
        <v>8.1957836410000002</v>
      </c>
      <c r="D40">
        <v>5.4877219940000002</v>
      </c>
      <c r="E40">
        <v>3.4804288579999998</v>
      </c>
      <c r="F40">
        <v>6.5740486349999996</v>
      </c>
      <c r="G40">
        <v>0.52576591900000003</v>
      </c>
      <c r="H40">
        <v>8.3418031280000005</v>
      </c>
      <c r="I40">
        <v>0.16512452799999999</v>
      </c>
      <c r="J40">
        <v>60.003244700000003</v>
      </c>
      <c r="K40">
        <v>172.28311729999999</v>
      </c>
    </row>
    <row r="41" spans="1:11">
      <c r="A41" t="s">
        <v>420</v>
      </c>
      <c r="B41">
        <v>9.9480698739999998</v>
      </c>
      <c r="C41">
        <v>9.3024461279999997</v>
      </c>
      <c r="D41">
        <v>4.2245563070000003</v>
      </c>
      <c r="E41">
        <v>3.9503851459999999</v>
      </c>
      <c r="F41">
        <v>7.4773380249999999</v>
      </c>
      <c r="G41">
        <v>0.79686854299999998</v>
      </c>
      <c r="H41">
        <v>11.263022429999999</v>
      </c>
      <c r="I41">
        <v>0.65764571299999997</v>
      </c>
      <c r="J41">
        <v>52.42886008</v>
      </c>
      <c r="K41">
        <v>264.57684640000002</v>
      </c>
    </row>
    <row r="42" spans="1:11">
      <c r="A42" t="s">
        <v>398</v>
      </c>
      <c r="B42">
        <v>9.0082715360000005</v>
      </c>
      <c r="C42">
        <v>7.996700068</v>
      </c>
      <c r="D42">
        <v>3.8254606990000002</v>
      </c>
      <c r="E42">
        <v>3.3958858489999999</v>
      </c>
      <c r="F42">
        <v>6.5276084560000003</v>
      </c>
      <c r="G42">
        <v>0.26273737699999999</v>
      </c>
      <c r="H42">
        <v>11.308799349999999</v>
      </c>
      <c r="I42">
        <v>1.351930753</v>
      </c>
      <c r="J42">
        <v>40.811889350000001</v>
      </c>
      <c r="K42">
        <v>231.9105295</v>
      </c>
    </row>
    <row r="43" spans="1:11">
      <c r="A43" t="s">
        <v>395</v>
      </c>
      <c r="B43">
        <v>10.15935019</v>
      </c>
      <c r="C43">
        <v>8.9990381979999992</v>
      </c>
      <c r="D43">
        <v>4.3142787990000002</v>
      </c>
      <c r="E43">
        <v>3.8215396620000002</v>
      </c>
      <c r="F43">
        <v>6.8544227500000003</v>
      </c>
      <c r="G43">
        <v>0.76910102899999999</v>
      </c>
      <c r="H43">
        <v>13.57831375</v>
      </c>
      <c r="I43">
        <v>1.6064408999999999</v>
      </c>
      <c r="J43">
        <v>51.796027250000002</v>
      </c>
      <c r="K43">
        <v>292.39274899999998</v>
      </c>
    </row>
    <row r="44" spans="1:11">
      <c r="A44" t="s">
        <v>414</v>
      </c>
      <c r="B44">
        <v>6.4085157779999999</v>
      </c>
      <c r="C44">
        <v>6.2722648369999998</v>
      </c>
      <c r="D44">
        <v>2.7214460790000001</v>
      </c>
      <c r="E44">
        <v>2.6635856320000002</v>
      </c>
      <c r="F44">
        <v>5.5383597739999999</v>
      </c>
      <c r="G44">
        <v>0.56682113199999995</v>
      </c>
      <c r="H44">
        <v>7.3723310609999997</v>
      </c>
      <c r="I44">
        <v>0.64844612999999995</v>
      </c>
      <c r="J44">
        <v>22.772791510000001</v>
      </c>
      <c r="K44">
        <v>128.27318149999999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63"/>
  <sheetViews>
    <sheetView workbookViewId="0">
      <selection activeCell="A20" sqref="A20"/>
    </sheetView>
  </sheetViews>
  <sheetFormatPr defaultColWidth="12.6640625" defaultRowHeight="15.75" customHeight="1"/>
  <sheetData>
    <row r="1" spans="1:3" ht="13.2">
      <c r="A1" s="9" t="s">
        <v>2</v>
      </c>
      <c r="B1" s="9" t="s">
        <v>349</v>
      </c>
      <c r="C1" s="9" t="s">
        <v>1</v>
      </c>
    </row>
    <row r="2" spans="1:3" ht="13.2">
      <c r="A2" s="10" t="s">
        <v>226</v>
      </c>
      <c r="B2" s="10" t="s">
        <v>18</v>
      </c>
      <c r="C2" s="10" t="s">
        <v>350</v>
      </c>
    </row>
    <row r="3" spans="1:3" ht="13.2">
      <c r="A3" s="10" t="s">
        <v>228</v>
      </c>
      <c r="B3" s="10"/>
      <c r="C3" s="10"/>
    </row>
    <row r="4" spans="1:3" ht="15.75" customHeight="1">
      <c r="A4" s="11" t="s">
        <v>230</v>
      </c>
      <c r="B4" s="10"/>
      <c r="C4" s="11"/>
    </row>
    <row r="5" spans="1:3" ht="15.75" customHeight="1">
      <c r="A5" s="11" t="s">
        <v>232</v>
      </c>
      <c r="B5" s="10"/>
      <c r="C5" s="11"/>
    </row>
    <row r="6" spans="1:3" ht="15.75" customHeight="1">
      <c r="A6" s="11" t="s">
        <v>233</v>
      </c>
      <c r="B6" s="10" t="s">
        <v>18</v>
      </c>
      <c r="C6" s="11" t="s">
        <v>351</v>
      </c>
    </row>
    <row r="7" spans="1:3" ht="15.75" customHeight="1">
      <c r="A7" s="11" t="s">
        <v>235</v>
      </c>
      <c r="B7" s="10"/>
      <c r="C7" s="11"/>
    </row>
    <row r="8" spans="1:3" ht="15.75" customHeight="1">
      <c r="A8" s="11" t="s">
        <v>236</v>
      </c>
      <c r="B8" s="10" t="s">
        <v>18</v>
      </c>
      <c r="C8" s="11" t="s">
        <v>351</v>
      </c>
    </row>
    <row r="9" spans="1:3" ht="15.75" customHeight="1">
      <c r="A9" s="10" t="s">
        <v>237</v>
      </c>
      <c r="B9" s="10"/>
      <c r="C9" s="11"/>
    </row>
    <row r="10" spans="1:3" ht="15.75" customHeight="1">
      <c r="A10" s="11" t="s">
        <v>238</v>
      </c>
      <c r="B10" s="10"/>
      <c r="C10" s="11"/>
    </row>
    <row r="11" spans="1:3" ht="15.75" customHeight="1">
      <c r="A11" s="10" t="s">
        <v>240</v>
      </c>
      <c r="B11" s="10"/>
      <c r="C11" s="11"/>
    </row>
    <row r="12" spans="1:3" ht="15.75" customHeight="1">
      <c r="A12" s="10" t="s">
        <v>241</v>
      </c>
      <c r="B12" s="10"/>
      <c r="C12" s="11"/>
    </row>
    <row r="13" spans="1:3" ht="15.75" customHeight="1">
      <c r="A13" s="11" t="s">
        <v>242</v>
      </c>
      <c r="B13" s="10"/>
      <c r="C13" s="11"/>
    </row>
    <row r="14" spans="1:3" ht="15.75" customHeight="1">
      <c r="A14" s="11" t="s">
        <v>243</v>
      </c>
      <c r="B14" s="10" t="s">
        <v>18</v>
      </c>
      <c r="C14" s="10" t="s">
        <v>352</v>
      </c>
    </row>
    <row r="15" spans="1:3" ht="15.75" customHeight="1">
      <c r="A15" s="11" t="s">
        <v>244</v>
      </c>
      <c r="B15" s="10"/>
      <c r="C15" s="11"/>
    </row>
    <row r="16" spans="1:3" ht="13.2">
      <c r="A16" s="10" t="s">
        <v>245</v>
      </c>
      <c r="B16" s="10"/>
      <c r="C16" s="10"/>
    </row>
    <row r="17" spans="1:3" ht="13.2">
      <c r="A17" s="12" t="s">
        <v>247</v>
      </c>
      <c r="B17" s="10" t="s">
        <v>18</v>
      </c>
      <c r="C17" s="10" t="s">
        <v>353</v>
      </c>
    </row>
    <row r="18" spans="1:3" ht="13.2">
      <c r="A18" s="12" t="s">
        <v>438</v>
      </c>
      <c r="B18" s="10"/>
      <c r="C18" s="10"/>
    </row>
    <row r="19" spans="1:3" ht="13.2">
      <c r="A19" s="12" t="s">
        <v>249</v>
      </c>
      <c r="B19" s="10" t="s">
        <v>17</v>
      </c>
      <c r="C19" s="10" t="s">
        <v>354</v>
      </c>
    </row>
    <row r="20" spans="1:3" ht="13.2">
      <c r="A20" s="10" t="s">
        <v>439</v>
      </c>
      <c r="B20" s="10"/>
      <c r="C20" s="10"/>
    </row>
    <row r="21" spans="1:3" ht="13.2">
      <c r="A21" s="10" t="s">
        <v>252</v>
      </c>
      <c r="B21" s="10"/>
      <c r="C21" s="10"/>
    </row>
    <row r="22" spans="1:3" ht="13.2">
      <c r="A22" s="10" t="s">
        <v>255</v>
      </c>
      <c r="B22" s="10"/>
      <c r="C22" s="10"/>
    </row>
    <row r="23" spans="1:3" ht="13.2">
      <c r="A23" s="10" t="s">
        <v>257</v>
      </c>
      <c r="B23" s="10"/>
      <c r="C23" s="10"/>
    </row>
    <row r="24" spans="1:3" ht="13.2">
      <c r="A24" s="10" t="s">
        <v>259</v>
      </c>
      <c r="B24" s="10" t="s">
        <v>17</v>
      </c>
      <c r="C24" s="10" t="s">
        <v>355</v>
      </c>
    </row>
    <row r="25" spans="1:3" ht="13.2">
      <c r="A25" s="10" t="s">
        <v>261</v>
      </c>
      <c r="B25" s="10"/>
      <c r="C25" s="10"/>
    </row>
    <row r="26" spans="1:3" ht="13.2">
      <c r="A26" s="10" t="s">
        <v>263</v>
      </c>
      <c r="B26" s="10"/>
      <c r="C26" s="10"/>
    </row>
    <row r="27" spans="1:3" ht="13.2">
      <c r="A27" s="10" t="s">
        <v>264</v>
      </c>
      <c r="B27" s="10"/>
      <c r="C27" s="10"/>
    </row>
    <row r="28" spans="1:3" ht="13.2">
      <c r="A28" s="10" t="s">
        <v>432</v>
      </c>
      <c r="B28" s="10" t="s">
        <v>17</v>
      </c>
      <c r="C28" s="10" t="s">
        <v>266</v>
      </c>
    </row>
    <row r="29" spans="1:3" ht="13.2">
      <c r="A29" s="10" t="s">
        <v>431</v>
      </c>
      <c r="B29" s="10" t="s">
        <v>253</v>
      </c>
      <c r="C29" s="10" t="s">
        <v>268</v>
      </c>
    </row>
    <row r="30" spans="1:3" ht="13.2">
      <c r="A30" s="10" t="s">
        <v>271</v>
      </c>
      <c r="B30" s="10" t="s">
        <v>253</v>
      </c>
      <c r="C30" s="10" t="s">
        <v>356</v>
      </c>
    </row>
    <row r="31" spans="1:3" ht="13.2">
      <c r="A31" s="10" t="s">
        <v>273</v>
      </c>
      <c r="B31" s="10" t="s">
        <v>253</v>
      </c>
      <c r="C31" s="10" t="s">
        <v>356</v>
      </c>
    </row>
    <row r="32" spans="1:3" ht="13.2">
      <c r="A32" s="10" t="s">
        <v>277</v>
      </c>
      <c r="B32" s="10"/>
      <c r="C32" s="10"/>
    </row>
    <row r="33" spans="1:3" ht="13.2">
      <c r="A33" s="10" t="s">
        <v>278</v>
      </c>
      <c r="B33" s="10" t="s">
        <v>17</v>
      </c>
      <c r="C33" s="10" t="s">
        <v>279</v>
      </c>
    </row>
    <row r="34" spans="1:3" ht="13.2">
      <c r="A34" s="10" t="s">
        <v>280</v>
      </c>
      <c r="B34" s="10"/>
      <c r="C34" s="10"/>
    </row>
    <row r="35" spans="1:3" ht="13.2">
      <c r="A35" s="10" t="s">
        <v>282</v>
      </c>
      <c r="B35" s="10"/>
      <c r="C35" s="10"/>
    </row>
    <row r="36" spans="1:3" ht="13.2">
      <c r="A36" s="10" t="s">
        <v>269</v>
      </c>
      <c r="B36" s="10"/>
      <c r="C36" s="10"/>
    </row>
    <row r="37" spans="1:3" ht="13.2">
      <c r="A37" s="10" t="s">
        <v>275</v>
      </c>
      <c r="B37" s="10"/>
      <c r="C37" s="10"/>
    </row>
    <row r="38" spans="1:3" ht="13.2">
      <c r="A38" s="10" t="s">
        <v>285</v>
      </c>
      <c r="B38" s="10"/>
      <c r="C38" s="10"/>
    </row>
    <row r="39" spans="1:3" ht="13.2">
      <c r="A39" s="10" t="s">
        <v>287</v>
      </c>
      <c r="B39" s="10"/>
      <c r="C39" s="10"/>
    </row>
    <row r="40" spans="1:3" ht="13.2">
      <c r="A40" s="10" t="s">
        <v>289</v>
      </c>
      <c r="B40" s="10"/>
      <c r="C40" s="10"/>
    </row>
    <row r="41" spans="1:3" ht="13.2">
      <c r="A41" s="10" t="s">
        <v>290</v>
      </c>
      <c r="B41" s="10"/>
      <c r="C41" s="10"/>
    </row>
    <row r="42" spans="1:3" ht="13.2">
      <c r="A42" s="10" t="s">
        <v>292</v>
      </c>
      <c r="B42" s="10"/>
      <c r="C42" s="10"/>
    </row>
    <row r="43" spans="1:3" ht="13.2">
      <c r="A43" s="10" t="s">
        <v>293</v>
      </c>
      <c r="B43" s="10"/>
      <c r="C43" s="10"/>
    </row>
    <row r="44" spans="1:3" ht="13.2">
      <c r="A44" s="10" t="s">
        <v>294</v>
      </c>
      <c r="B44" s="10"/>
      <c r="C44" s="10"/>
    </row>
    <row r="45" spans="1:3" ht="13.2">
      <c r="A45" s="10" t="s">
        <v>296</v>
      </c>
      <c r="B45" s="10"/>
      <c r="C45" s="10"/>
    </row>
    <row r="46" spans="1:3" ht="13.2">
      <c r="A46" s="10" t="s">
        <v>297</v>
      </c>
      <c r="B46" s="10"/>
      <c r="C46" s="10"/>
    </row>
    <row r="47" spans="1:3" ht="13.2">
      <c r="A47" s="10" t="s">
        <v>437</v>
      </c>
      <c r="B47" s="10"/>
      <c r="C47" s="10"/>
    </row>
    <row r="48" spans="1:3" ht="13.2">
      <c r="A48" s="10" t="s">
        <v>172</v>
      </c>
      <c r="B48" s="10"/>
      <c r="C48" s="10"/>
    </row>
    <row r="49" spans="1:3" ht="13.2">
      <c r="A49" s="10" t="s">
        <v>164</v>
      </c>
      <c r="B49" s="10" t="s">
        <v>17</v>
      </c>
      <c r="C49" s="10" t="s">
        <v>301</v>
      </c>
    </row>
    <row r="50" spans="1:3" ht="13.2">
      <c r="A50" s="10" t="s">
        <v>302</v>
      </c>
      <c r="B50" s="10"/>
      <c r="C50" s="10" t="s">
        <v>303</v>
      </c>
    </row>
    <row r="51" spans="1:3" ht="13.2">
      <c r="A51" s="10" t="s">
        <v>304</v>
      </c>
      <c r="B51" s="10"/>
      <c r="C51" s="10" t="s">
        <v>303</v>
      </c>
    </row>
    <row r="52" spans="1:3" ht="13.2">
      <c r="A52" s="10" t="s">
        <v>305</v>
      </c>
      <c r="B52" s="10"/>
      <c r="C52" s="10" t="s">
        <v>306</v>
      </c>
    </row>
    <row r="53" spans="1:3" ht="13.2">
      <c r="A53" s="10" t="s">
        <v>307</v>
      </c>
      <c r="B53" s="10"/>
      <c r="C53" s="10" t="s">
        <v>308</v>
      </c>
    </row>
    <row r="54" spans="1:3" ht="13.2">
      <c r="A54" s="10" t="s">
        <v>309</v>
      </c>
      <c r="B54" s="10"/>
      <c r="C54" s="10" t="s">
        <v>308</v>
      </c>
    </row>
    <row r="55" spans="1:3" ht="13.2">
      <c r="A55" s="10" t="s">
        <v>310</v>
      </c>
      <c r="B55" s="10"/>
      <c r="C55" s="10" t="s">
        <v>311</v>
      </c>
    </row>
    <row r="56" spans="1:3" ht="13.2">
      <c r="A56" s="10" t="s">
        <v>312</v>
      </c>
      <c r="B56" s="10"/>
      <c r="C56" s="10" t="s">
        <v>313</v>
      </c>
    </row>
    <row r="57" spans="1:3" ht="13.2">
      <c r="A57" s="10" t="s">
        <v>314</v>
      </c>
      <c r="B57" s="10"/>
      <c r="C57" s="10" t="s">
        <v>313</v>
      </c>
    </row>
    <row r="58" spans="1:3" ht="13.2">
      <c r="A58" s="10" t="s">
        <v>223</v>
      </c>
      <c r="B58" s="10"/>
      <c r="C58" s="10" t="s">
        <v>313</v>
      </c>
    </row>
    <row r="59" spans="1:3" ht="13.2">
      <c r="A59" s="10" t="s">
        <v>315</v>
      </c>
      <c r="B59" s="10"/>
      <c r="C59" s="10" t="s">
        <v>313</v>
      </c>
    </row>
    <row r="60" spans="1:3" ht="13.2">
      <c r="A60" s="10" t="s">
        <v>316</v>
      </c>
      <c r="B60" s="10"/>
      <c r="C60" s="10" t="s">
        <v>313</v>
      </c>
    </row>
    <row r="61" spans="1:3" ht="13.2">
      <c r="A61" s="10" t="s">
        <v>317</v>
      </c>
      <c r="B61" s="10"/>
      <c r="C61" s="10" t="s">
        <v>313</v>
      </c>
    </row>
    <row r="62" spans="1:3" ht="13.2">
      <c r="A62" s="10" t="s">
        <v>318</v>
      </c>
      <c r="B62" s="10"/>
      <c r="C62" s="10" t="s">
        <v>313</v>
      </c>
    </row>
    <row r="63" spans="1:3" ht="13.2">
      <c r="A63" s="10" t="s">
        <v>319</v>
      </c>
      <c r="B63" s="10"/>
      <c r="C63" s="10" t="s">
        <v>313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66"/>
  <sheetViews>
    <sheetView tabSelected="1" workbookViewId="0">
      <pane ySplit="1" topLeftCell="A16" activePane="bottomLeft" state="frozen"/>
      <selection activeCell="B3" sqref="B3"/>
      <selection pane="bottomLeft" activeCell="A50" sqref="A50"/>
    </sheetView>
  </sheetViews>
  <sheetFormatPr defaultColWidth="12.6640625" defaultRowHeight="15.75" customHeight="1"/>
  <sheetData>
    <row r="1" spans="1:7" ht="13.2">
      <c r="A1" s="9" t="s">
        <v>2</v>
      </c>
      <c r="B1" s="9" t="s">
        <v>357</v>
      </c>
      <c r="C1" s="9" t="s">
        <v>358</v>
      </c>
      <c r="D1" s="9" t="s">
        <v>359</v>
      </c>
      <c r="E1" s="9" t="s">
        <v>360</v>
      </c>
      <c r="F1" s="9" t="s">
        <v>361</v>
      </c>
      <c r="G1" s="9" t="s">
        <v>1</v>
      </c>
    </row>
    <row r="2" spans="1:7" ht="13.2">
      <c r="A2" s="10" t="s">
        <v>226</v>
      </c>
      <c r="B2" s="10" t="s">
        <v>18</v>
      </c>
      <c r="C2" s="10" t="s">
        <v>17</v>
      </c>
      <c r="D2" s="10" t="s">
        <v>17</v>
      </c>
      <c r="E2" s="10" t="s">
        <v>17</v>
      </c>
      <c r="F2" s="10" t="s">
        <v>17</v>
      </c>
      <c r="G2" s="10" t="s">
        <v>350</v>
      </c>
    </row>
    <row r="3" spans="1:7" ht="13.2">
      <c r="A3" s="10" t="s">
        <v>228</v>
      </c>
      <c r="B3" s="10"/>
      <c r="C3" s="10"/>
      <c r="D3" s="10"/>
      <c r="E3" s="10"/>
      <c r="F3" s="10"/>
      <c r="G3" s="10"/>
    </row>
    <row r="4" spans="1:7" ht="15.75" customHeight="1">
      <c r="A4" s="11" t="s">
        <v>230</v>
      </c>
      <c r="B4" s="10"/>
      <c r="C4" s="10"/>
      <c r="D4" s="10"/>
      <c r="E4" s="10"/>
      <c r="F4" s="10"/>
      <c r="G4" s="11"/>
    </row>
    <row r="5" spans="1:7" ht="15.75" customHeight="1">
      <c r="A5" s="11" t="s">
        <v>232</v>
      </c>
      <c r="B5" s="10"/>
      <c r="C5" s="10"/>
      <c r="D5" s="10"/>
      <c r="E5" s="10"/>
      <c r="F5" s="10"/>
      <c r="G5" s="11"/>
    </row>
    <row r="6" spans="1:7" ht="15.75" customHeight="1">
      <c r="A6" s="11" t="s">
        <v>233</v>
      </c>
      <c r="B6" s="10" t="s">
        <v>17</v>
      </c>
      <c r="C6" s="10" t="s">
        <v>17</v>
      </c>
      <c r="D6" s="10" t="s">
        <v>17</v>
      </c>
      <c r="E6" s="10" t="s">
        <v>17</v>
      </c>
      <c r="F6" s="10" t="s">
        <v>17</v>
      </c>
      <c r="G6" s="11" t="s">
        <v>351</v>
      </c>
    </row>
    <row r="7" spans="1:7" ht="15.75" customHeight="1">
      <c r="A7" s="11" t="s">
        <v>235</v>
      </c>
      <c r="B7" s="10"/>
      <c r="C7" s="10"/>
      <c r="D7" s="10"/>
      <c r="E7" s="10"/>
      <c r="F7" s="10"/>
      <c r="G7" s="11"/>
    </row>
    <row r="8" spans="1:7" ht="15.75" customHeight="1">
      <c r="A8" s="11" t="s">
        <v>236</v>
      </c>
      <c r="B8" s="10" t="s">
        <v>17</v>
      </c>
      <c r="C8" s="10" t="s">
        <v>17</v>
      </c>
      <c r="D8" s="10" t="s">
        <v>17</v>
      </c>
      <c r="E8" s="10" t="s">
        <v>17</v>
      </c>
      <c r="F8" s="10" t="s">
        <v>362</v>
      </c>
      <c r="G8" s="11" t="s">
        <v>351</v>
      </c>
    </row>
    <row r="9" spans="1:7" ht="15.75" customHeight="1">
      <c r="A9" s="10" t="s">
        <v>237</v>
      </c>
      <c r="B9" s="10"/>
      <c r="C9" s="10"/>
      <c r="D9" s="10"/>
      <c r="E9" s="10"/>
      <c r="F9" s="10"/>
      <c r="G9" s="11"/>
    </row>
    <row r="10" spans="1:7" ht="15.75" customHeight="1">
      <c r="A10" s="11" t="s">
        <v>238</v>
      </c>
      <c r="B10" s="10"/>
      <c r="C10" s="10"/>
      <c r="D10" s="10"/>
      <c r="E10" s="10"/>
      <c r="F10" s="10"/>
      <c r="G10" s="11"/>
    </row>
    <row r="11" spans="1:7" ht="15.75" customHeight="1">
      <c r="A11" s="10" t="s">
        <v>240</v>
      </c>
      <c r="B11" s="10"/>
      <c r="C11" s="10"/>
      <c r="D11" s="10"/>
      <c r="E11" s="10"/>
      <c r="F11" s="10"/>
      <c r="G11" s="11"/>
    </row>
    <row r="12" spans="1:7" ht="15.75" customHeight="1">
      <c r="A12" s="10" t="s">
        <v>241</v>
      </c>
      <c r="B12" s="10"/>
      <c r="C12" s="10"/>
      <c r="D12" s="10"/>
      <c r="E12" s="10"/>
      <c r="F12" s="10"/>
      <c r="G12" s="11"/>
    </row>
    <row r="13" spans="1:7" ht="15.75" customHeight="1">
      <c r="A13" s="11" t="s">
        <v>242</v>
      </c>
      <c r="B13" s="10"/>
      <c r="C13" s="10"/>
      <c r="D13" s="10"/>
      <c r="E13" s="10"/>
      <c r="F13" s="10"/>
      <c r="G13" s="11"/>
    </row>
    <row r="14" spans="1:7" ht="15.75" customHeight="1">
      <c r="A14" s="11" t="s">
        <v>243</v>
      </c>
      <c r="B14" s="10"/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352</v>
      </c>
    </row>
    <row r="15" spans="1:7" ht="15.75" customHeight="1">
      <c r="A15" s="11" t="s">
        <v>244</v>
      </c>
      <c r="B15" s="10"/>
      <c r="C15" s="10"/>
      <c r="D15" s="10"/>
      <c r="E15" s="10"/>
      <c r="F15" s="10"/>
      <c r="G15" s="11"/>
    </row>
    <row r="16" spans="1:7" ht="13.2">
      <c r="A16" s="10" t="s">
        <v>245</v>
      </c>
      <c r="B16" s="10"/>
      <c r="C16" s="10"/>
      <c r="D16" s="10"/>
      <c r="E16" s="10"/>
      <c r="F16" s="10"/>
      <c r="G16" s="10"/>
    </row>
    <row r="17" spans="1:7" ht="13.2">
      <c r="A17" s="12" t="s">
        <v>247</v>
      </c>
      <c r="B17" s="10"/>
      <c r="C17" s="10" t="s">
        <v>17</v>
      </c>
      <c r="D17" s="10"/>
      <c r="E17" s="10" t="s">
        <v>17</v>
      </c>
      <c r="F17" s="10"/>
      <c r="G17" s="10" t="s">
        <v>363</v>
      </c>
    </row>
    <row r="18" spans="1:7" ht="13.2">
      <c r="A18" s="12" t="s">
        <v>438</v>
      </c>
      <c r="B18" s="10" t="s">
        <v>17</v>
      </c>
      <c r="C18" s="10" t="s">
        <v>17</v>
      </c>
      <c r="D18" s="10" t="s">
        <v>17</v>
      </c>
      <c r="E18" s="10" t="s">
        <v>17</v>
      </c>
      <c r="F18" s="10"/>
      <c r="G18" s="10" t="s">
        <v>353</v>
      </c>
    </row>
    <row r="19" spans="1:7" ht="13.2">
      <c r="A19" s="12" t="s">
        <v>249</v>
      </c>
      <c r="B19" s="10" t="s">
        <v>17</v>
      </c>
      <c r="C19" s="10" t="s">
        <v>18</v>
      </c>
      <c r="D19" s="10" t="s">
        <v>17</v>
      </c>
      <c r="E19" s="10" t="s">
        <v>18</v>
      </c>
      <c r="F19" s="10"/>
      <c r="G19" s="10" t="s">
        <v>353</v>
      </c>
    </row>
    <row r="20" spans="1:7" ht="13.2">
      <c r="A20" s="10" t="s">
        <v>439</v>
      </c>
      <c r="B20" s="10" t="s">
        <v>250</v>
      </c>
      <c r="C20" s="10"/>
      <c r="D20" s="10"/>
      <c r="E20" s="10"/>
      <c r="F20" s="10"/>
      <c r="G20" s="10"/>
    </row>
    <row r="21" spans="1:7" ht="13.2">
      <c r="A21" s="10" t="s">
        <v>252</v>
      </c>
      <c r="B21" s="10" t="s">
        <v>253</v>
      </c>
      <c r="C21" s="10"/>
      <c r="D21" s="10"/>
      <c r="E21" s="10"/>
      <c r="F21" s="10"/>
      <c r="G21" s="10"/>
    </row>
    <row r="22" spans="1:7" ht="13.2">
      <c r="A22" s="10" t="s">
        <v>255</v>
      </c>
      <c r="B22" s="10"/>
      <c r="C22" s="10"/>
      <c r="D22" s="10"/>
      <c r="E22" s="10"/>
      <c r="F22" s="10"/>
      <c r="G22" s="10"/>
    </row>
    <row r="23" spans="1:7" ht="13.2">
      <c r="A23" s="10" t="s">
        <v>257</v>
      </c>
      <c r="B23" s="10"/>
      <c r="C23" s="10"/>
      <c r="D23" s="10"/>
      <c r="E23" s="10"/>
      <c r="F23" s="10"/>
      <c r="G23" s="10"/>
    </row>
    <row r="24" spans="1:7" ht="13.2">
      <c r="A24" s="10" t="s">
        <v>259</v>
      </c>
      <c r="B24" s="10"/>
      <c r="C24" s="10"/>
      <c r="D24" s="10" t="s">
        <v>17</v>
      </c>
      <c r="E24" s="10" t="s">
        <v>17</v>
      </c>
      <c r="F24" s="10"/>
      <c r="G24" s="10"/>
    </row>
    <row r="25" spans="1:7" ht="13.2">
      <c r="A25" s="10" t="s">
        <v>261</v>
      </c>
      <c r="B25" s="10"/>
      <c r="C25" s="10"/>
      <c r="D25" s="10"/>
      <c r="E25" s="10"/>
      <c r="F25" s="10"/>
      <c r="G25" s="10"/>
    </row>
    <row r="26" spans="1:7" ht="13.2">
      <c r="A26" s="10" t="s">
        <v>263</v>
      </c>
      <c r="B26" s="10"/>
      <c r="C26" s="10"/>
      <c r="D26" s="10"/>
      <c r="E26" s="10"/>
      <c r="F26" s="10"/>
      <c r="G26" s="10"/>
    </row>
    <row r="27" spans="1:7" ht="13.2">
      <c r="A27" s="10" t="s">
        <v>264</v>
      </c>
      <c r="B27" s="10"/>
      <c r="C27" s="10"/>
      <c r="D27" s="10"/>
      <c r="E27" s="10"/>
      <c r="F27" s="10"/>
      <c r="G27" s="10"/>
    </row>
    <row r="28" spans="1:7" ht="13.2">
      <c r="A28" s="10" t="s">
        <v>265</v>
      </c>
      <c r="B28" s="10" t="s">
        <v>17</v>
      </c>
      <c r="C28" s="10"/>
      <c r="D28" s="10"/>
      <c r="E28" s="10" t="s">
        <v>17</v>
      </c>
      <c r="F28" s="10"/>
      <c r="G28" s="10" t="s">
        <v>266</v>
      </c>
    </row>
    <row r="29" spans="1:7" ht="13.2">
      <c r="A29" s="10" t="s">
        <v>267</v>
      </c>
      <c r="B29" s="10" t="s">
        <v>17</v>
      </c>
      <c r="C29" s="10" t="s">
        <v>17</v>
      </c>
      <c r="D29" s="10" t="s">
        <v>17</v>
      </c>
      <c r="E29" s="10" t="s">
        <v>17</v>
      </c>
      <c r="F29" s="10" t="s">
        <v>17</v>
      </c>
      <c r="G29" s="10" t="s">
        <v>268</v>
      </c>
    </row>
    <row r="30" spans="1:7" ht="13.2">
      <c r="A30" s="10" t="s">
        <v>271</v>
      </c>
      <c r="B30" s="10" t="s">
        <v>17</v>
      </c>
      <c r="C30" s="10" t="s">
        <v>17</v>
      </c>
      <c r="D30" s="10" t="s">
        <v>17</v>
      </c>
      <c r="E30" s="10" t="s">
        <v>18</v>
      </c>
      <c r="F30" s="10" t="s">
        <v>17</v>
      </c>
      <c r="G30" s="10" t="s">
        <v>272</v>
      </c>
    </row>
    <row r="31" spans="1:7" ht="13.2">
      <c r="A31" s="10" t="s">
        <v>273</v>
      </c>
      <c r="B31" s="10" t="s">
        <v>17</v>
      </c>
      <c r="C31" s="10" t="s">
        <v>17</v>
      </c>
      <c r="D31" s="10" t="s">
        <v>17</v>
      </c>
      <c r="E31" s="10" t="s">
        <v>18</v>
      </c>
      <c r="F31" s="10" t="s">
        <v>17</v>
      </c>
      <c r="G31" s="10" t="s">
        <v>364</v>
      </c>
    </row>
    <row r="32" spans="1:7" ht="13.2">
      <c r="A32" s="10" t="s">
        <v>344</v>
      </c>
      <c r="B32" s="10" t="s">
        <v>18</v>
      </c>
      <c r="C32" s="10" t="s">
        <v>17</v>
      </c>
      <c r="D32" s="10" t="s">
        <v>17</v>
      </c>
      <c r="E32" s="10" t="s">
        <v>17</v>
      </c>
      <c r="F32" s="10" t="s">
        <v>18</v>
      </c>
      <c r="G32" s="10" t="s">
        <v>345</v>
      </c>
    </row>
    <row r="33" spans="1:7" ht="15.75" customHeight="1">
      <c r="A33" s="10" t="s">
        <v>346</v>
      </c>
      <c r="B33" s="10"/>
      <c r="C33" s="10" t="s">
        <v>17</v>
      </c>
      <c r="D33" s="10" t="s">
        <v>17</v>
      </c>
      <c r="E33" s="10" t="s">
        <v>17</v>
      </c>
      <c r="F33" s="10" t="s">
        <v>17</v>
      </c>
      <c r="G33" s="11" t="s">
        <v>347</v>
      </c>
    </row>
    <row r="34" spans="1:7" ht="15.75" customHeight="1">
      <c r="A34" s="10" t="s">
        <v>344</v>
      </c>
      <c r="B34" s="10"/>
      <c r="C34" s="10" t="s">
        <v>17</v>
      </c>
      <c r="D34" s="10" t="s">
        <v>17</v>
      </c>
      <c r="E34" s="10" t="s">
        <v>17</v>
      </c>
      <c r="F34" s="10" t="s">
        <v>17</v>
      </c>
      <c r="G34" s="11" t="s">
        <v>348</v>
      </c>
    </row>
    <row r="35" spans="1:7" ht="13.2">
      <c r="A35" s="10" t="s">
        <v>277</v>
      </c>
      <c r="B35" s="10"/>
      <c r="C35" s="10"/>
      <c r="D35" s="10"/>
      <c r="E35" s="10"/>
      <c r="F35" s="10"/>
      <c r="G35" s="10"/>
    </row>
    <row r="36" spans="1:7" ht="13.2">
      <c r="A36" s="10" t="s">
        <v>278</v>
      </c>
      <c r="B36" s="10"/>
      <c r="C36" s="10"/>
      <c r="D36" s="10" t="s">
        <v>17</v>
      </c>
      <c r="E36" s="10" t="s">
        <v>17</v>
      </c>
      <c r="F36" s="10" t="s">
        <v>17</v>
      </c>
      <c r="G36" s="10" t="s">
        <v>279</v>
      </c>
    </row>
    <row r="37" spans="1:7" ht="13.2">
      <c r="A37" s="10" t="s">
        <v>280</v>
      </c>
      <c r="B37" s="10"/>
      <c r="C37" s="10"/>
      <c r="D37" s="10"/>
      <c r="E37" s="10"/>
      <c r="F37" s="10"/>
      <c r="G37" s="10"/>
    </row>
    <row r="38" spans="1:7" ht="13.2">
      <c r="A38" s="10" t="s">
        <v>282</v>
      </c>
      <c r="B38" s="10"/>
      <c r="C38" s="10"/>
      <c r="D38" s="10"/>
      <c r="E38" s="10"/>
      <c r="F38" s="10"/>
      <c r="G38" s="10"/>
    </row>
    <row r="39" spans="1:7" ht="13.2">
      <c r="A39" s="10" t="s">
        <v>269</v>
      </c>
      <c r="B39" s="10"/>
      <c r="C39" s="10"/>
      <c r="D39" s="10"/>
      <c r="E39" s="10"/>
      <c r="F39" s="10"/>
      <c r="G39" s="10"/>
    </row>
    <row r="40" spans="1:7" ht="13.2">
      <c r="A40" s="10" t="s">
        <v>275</v>
      </c>
      <c r="B40" s="10"/>
      <c r="C40" s="10"/>
      <c r="D40" s="10"/>
      <c r="E40" s="10"/>
      <c r="F40" s="10"/>
      <c r="G40" s="10"/>
    </row>
    <row r="41" spans="1:7" ht="13.2">
      <c r="A41" s="10" t="s">
        <v>285</v>
      </c>
      <c r="B41" s="10"/>
      <c r="C41" s="10"/>
      <c r="D41" s="10"/>
      <c r="E41" s="10"/>
      <c r="F41" s="10"/>
      <c r="G41" s="10"/>
    </row>
    <row r="42" spans="1:7" ht="13.2">
      <c r="A42" s="10" t="s">
        <v>287</v>
      </c>
      <c r="B42" s="10"/>
      <c r="C42" s="10"/>
      <c r="D42" s="10"/>
      <c r="E42" s="10"/>
      <c r="F42" s="10"/>
      <c r="G42" s="10"/>
    </row>
    <row r="43" spans="1:7" ht="13.2">
      <c r="A43" s="10" t="s">
        <v>289</v>
      </c>
      <c r="B43" s="10"/>
      <c r="C43" s="10"/>
      <c r="D43" s="10"/>
      <c r="E43" s="10"/>
      <c r="F43" s="10"/>
      <c r="G43" s="10"/>
    </row>
    <row r="44" spans="1:7" ht="13.2">
      <c r="A44" s="10" t="s">
        <v>290</v>
      </c>
      <c r="B44" s="10"/>
      <c r="C44" s="10"/>
      <c r="D44" s="10"/>
      <c r="E44" s="10"/>
      <c r="F44" s="10"/>
      <c r="G44" s="10"/>
    </row>
    <row r="45" spans="1:7" ht="13.2">
      <c r="A45" s="10" t="s">
        <v>292</v>
      </c>
      <c r="B45" s="10"/>
      <c r="C45" s="10"/>
      <c r="D45" s="10"/>
      <c r="E45" s="10"/>
      <c r="F45" s="10"/>
      <c r="G45" s="10"/>
    </row>
    <row r="46" spans="1:7" ht="13.2">
      <c r="A46" s="10" t="s">
        <v>293</v>
      </c>
      <c r="B46" s="10"/>
      <c r="C46" s="10"/>
      <c r="D46" s="10"/>
      <c r="E46" s="10"/>
      <c r="F46" s="10"/>
      <c r="G46" s="10"/>
    </row>
    <row r="47" spans="1:7" ht="13.2">
      <c r="A47" s="10" t="s">
        <v>294</v>
      </c>
      <c r="B47" s="10"/>
      <c r="C47" s="10"/>
      <c r="D47" s="10"/>
      <c r="E47" s="10"/>
      <c r="F47" s="10"/>
      <c r="G47" s="10"/>
    </row>
    <row r="48" spans="1:7" ht="13.2">
      <c r="A48" s="10" t="s">
        <v>296</v>
      </c>
      <c r="B48" s="10"/>
      <c r="C48" s="10"/>
      <c r="D48" s="10"/>
      <c r="E48" s="10"/>
      <c r="F48" s="10"/>
      <c r="G48" s="10"/>
    </row>
    <row r="49" spans="1:7" ht="13.2">
      <c r="A49" s="10" t="s">
        <v>297</v>
      </c>
      <c r="B49" s="10"/>
      <c r="C49" s="10"/>
      <c r="D49" s="10"/>
      <c r="E49" s="10"/>
      <c r="F49" s="10"/>
      <c r="G49" s="10"/>
    </row>
    <row r="50" spans="1:7" ht="13.2">
      <c r="A50" s="10" t="s">
        <v>437</v>
      </c>
      <c r="B50" s="10"/>
      <c r="C50" s="10"/>
      <c r="D50" s="10"/>
      <c r="E50" s="10"/>
      <c r="F50" s="10"/>
      <c r="G50" s="10"/>
    </row>
    <row r="51" spans="1:7" ht="13.2">
      <c r="A51" s="10" t="s">
        <v>172</v>
      </c>
      <c r="B51" s="10"/>
      <c r="C51" s="10"/>
      <c r="D51" s="10"/>
      <c r="E51" s="10"/>
      <c r="F51" s="10"/>
      <c r="G51" s="10"/>
    </row>
    <row r="52" spans="1:7" ht="13.2">
      <c r="A52" s="10" t="s">
        <v>164</v>
      </c>
      <c r="B52" s="10"/>
      <c r="C52" s="10"/>
      <c r="D52" s="10" t="s">
        <v>17</v>
      </c>
      <c r="E52" s="10" t="s">
        <v>17</v>
      </c>
      <c r="F52" s="10" t="s">
        <v>17</v>
      </c>
      <c r="G52" s="10" t="s">
        <v>301</v>
      </c>
    </row>
    <row r="53" spans="1:7" ht="13.2">
      <c r="A53" s="10" t="s">
        <v>302</v>
      </c>
      <c r="B53" s="10"/>
      <c r="C53" s="10"/>
      <c r="D53" s="10"/>
      <c r="E53" s="10"/>
      <c r="F53" s="10"/>
      <c r="G53" s="10" t="s">
        <v>303</v>
      </c>
    </row>
    <row r="54" spans="1:7" ht="13.2">
      <c r="A54" s="10" t="s">
        <v>304</v>
      </c>
      <c r="B54" s="10"/>
      <c r="C54" s="10"/>
      <c r="D54" s="10"/>
      <c r="E54" s="10"/>
      <c r="F54" s="10"/>
      <c r="G54" s="10" t="s">
        <v>303</v>
      </c>
    </row>
    <row r="55" spans="1:7" ht="13.2">
      <c r="A55" s="10" t="s">
        <v>305</v>
      </c>
      <c r="B55" s="10"/>
      <c r="C55" s="10"/>
      <c r="D55" s="10"/>
      <c r="E55" s="10"/>
      <c r="F55" s="10"/>
      <c r="G55" s="10" t="s">
        <v>306</v>
      </c>
    </row>
    <row r="56" spans="1:7" ht="13.2">
      <c r="A56" s="10" t="s">
        <v>307</v>
      </c>
      <c r="B56" s="10"/>
      <c r="C56" s="10"/>
      <c r="D56" s="10"/>
      <c r="E56" s="10"/>
      <c r="F56" s="10"/>
      <c r="G56" s="10" t="s">
        <v>308</v>
      </c>
    </row>
    <row r="57" spans="1:7" ht="13.2">
      <c r="A57" s="10" t="s">
        <v>309</v>
      </c>
      <c r="B57" s="10"/>
      <c r="C57" s="10"/>
      <c r="D57" s="10"/>
      <c r="E57" s="10"/>
      <c r="F57" s="10"/>
      <c r="G57" s="10" t="s">
        <v>308</v>
      </c>
    </row>
    <row r="58" spans="1:7" ht="13.2">
      <c r="A58" s="10" t="s">
        <v>310</v>
      </c>
      <c r="B58" s="10"/>
      <c r="C58" s="10"/>
      <c r="D58" s="10"/>
      <c r="E58" s="10"/>
      <c r="F58" s="10"/>
      <c r="G58" s="10" t="s">
        <v>311</v>
      </c>
    </row>
    <row r="59" spans="1:7" ht="13.2">
      <c r="A59" s="10" t="s">
        <v>312</v>
      </c>
      <c r="B59" s="10"/>
      <c r="C59" s="10"/>
      <c r="D59" s="10"/>
      <c r="E59" s="10"/>
      <c r="F59" s="10"/>
      <c r="G59" s="10" t="s">
        <v>313</v>
      </c>
    </row>
    <row r="60" spans="1:7" ht="13.2">
      <c r="A60" s="10" t="s">
        <v>314</v>
      </c>
      <c r="B60" s="10"/>
      <c r="C60" s="10"/>
      <c r="D60" s="10"/>
      <c r="E60" s="10"/>
      <c r="F60" s="10"/>
      <c r="G60" s="10" t="s">
        <v>313</v>
      </c>
    </row>
    <row r="61" spans="1:7" ht="13.2">
      <c r="A61" s="10" t="s">
        <v>223</v>
      </c>
      <c r="B61" s="10"/>
      <c r="C61" s="10"/>
      <c r="D61" s="10"/>
      <c r="E61" s="10"/>
      <c r="F61" s="10"/>
      <c r="G61" s="10" t="s">
        <v>313</v>
      </c>
    </row>
    <row r="62" spans="1:7" ht="13.2">
      <c r="A62" s="10" t="s">
        <v>315</v>
      </c>
      <c r="B62" s="10"/>
      <c r="C62" s="10"/>
      <c r="D62" s="10"/>
      <c r="E62" s="10"/>
      <c r="F62" s="10"/>
      <c r="G62" s="10" t="s">
        <v>313</v>
      </c>
    </row>
    <row r="63" spans="1:7" ht="13.2">
      <c r="A63" s="10" t="s">
        <v>316</v>
      </c>
      <c r="B63" s="10"/>
      <c r="C63" s="10"/>
      <c r="D63" s="10"/>
      <c r="E63" s="10"/>
      <c r="F63" s="10"/>
      <c r="G63" s="10" t="s">
        <v>313</v>
      </c>
    </row>
    <row r="64" spans="1:7" ht="13.2">
      <c r="A64" s="10" t="s">
        <v>317</v>
      </c>
      <c r="B64" s="10" t="s">
        <v>18</v>
      </c>
      <c r="C64" s="10"/>
      <c r="D64" s="10"/>
      <c r="E64" s="10"/>
      <c r="F64" s="10"/>
      <c r="G64" s="10" t="s">
        <v>313</v>
      </c>
    </row>
    <row r="65" spans="1:7" ht="13.2">
      <c r="A65" s="10" t="s">
        <v>318</v>
      </c>
      <c r="B65" s="10" t="s">
        <v>18</v>
      </c>
      <c r="C65" s="10"/>
      <c r="D65" s="10"/>
      <c r="E65" s="10"/>
      <c r="F65" s="10"/>
      <c r="G65" s="10" t="s">
        <v>313</v>
      </c>
    </row>
    <row r="66" spans="1:7" ht="13.2">
      <c r="A66" s="10" t="s">
        <v>319</v>
      </c>
      <c r="B66" s="10" t="s">
        <v>18</v>
      </c>
      <c r="C66" s="10"/>
      <c r="D66" s="10"/>
      <c r="E66" s="10"/>
      <c r="F66" s="10"/>
      <c r="G66" s="10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CB summary</vt:lpstr>
      <vt:lpstr>light sensitivity</vt:lpstr>
      <vt:lpstr>input sensitivity</vt:lpstr>
      <vt:lpstr>RF size</vt:lpstr>
      <vt:lpstr>RF size CC</vt:lpstr>
      <vt:lpstr>RF side</vt:lpstr>
      <vt:lpstr>RF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Hoeller, Judith</cp:lastModifiedBy>
  <dcterms:modified xsi:type="dcterms:W3CDTF">2026-05-28T15:12:00Z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906ff0-52ec-452d-8c5e-cde77f900816_Enabled">
    <vt:lpwstr>true</vt:lpwstr>
  </property>
  <property fmtid="{D5CDD505-2E9C-101B-9397-08002B2CF9AE}" pid="3" name="MSIP_Label_e8906ff0-52ec-452d-8c5e-cde77f900816_SetDate">
    <vt:lpwstr>2026-04-17T13:52:08Z</vt:lpwstr>
  </property>
  <property fmtid="{D5CDD505-2E9C-101B-9397-08002B2CF9AE}" pid="4" name="MSIP_Label_e8906ff0-52ec-452d-8c5e-cde77f900816_Method">
    <vt:lpwstr>Standard</vt:lpwstr>
  </property>
  <property fmtid="{D5CDD505-2E9C-101B-9397-08002B2CF9AE}" pid="5" name="MSIP_Label_e8906ff0-52ec-452d-8c5e-cde77f900816_Name">
    <vt:lpwstr>e8906ff0-52ec-452d-8c5e-cde77f900816</vt:lpwstr>
  </property>
  <property fmtid="{D5CDD505-2E9C-101B-9397-08002B2CF9AE}" pid="6" name="MSIP_Label_e8906ff0-52ec-452d-8c5e-cde77f900816_SiteId">
    <vt:lpwstr>dd8acbd0-ad85-4eb9-8a76-871027ad4a1b</vt:lpwstr>
  </property>
  <property fmtid="{D5CDD505-2E9C-101B-9397-08002B2CF9AE}" pid="7" name="MSIP_Label_e8906ff0-52ec-452d-8c5e-cde77f900816_ActionId">
    <vt:lpwstr>c4759fcb-5a60-43f9-b329-ecb7198a5105</vt:lpwstr>
  </property>
  <property fmtid="{D5CDD505-2E9C-101B-9397-08002B2CF9AE}" pid="8" name="MSIP_Label_e8906ff0-52ec-452d-8c5e-cde77f900816_ContentBits">
    <vt:lpwstr>0</vt:lpwstr>
  </property>
  <property fmtid="{D5CDD505-2E9C-101B-9397-08002B2CF9AE}" pid="9" name="MSIP_Label_e8906ff0-52ec-452d-8c5e-cde77f900816_Tag">
    <vt:lpwstr>10, 3, 0, 1</vt:lpwstr>
  </property>
</Properties>
</file>